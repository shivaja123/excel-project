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1939\OneDrive\Desktop\2111CS020512\"/>
    </mc:Choice>
  </mc:AlternateContent>
  <xr:revisionPtr revIDLastSave="0" documentId="8_{BF0939C9-52C5-4CE7-BD12-4C3B700E931B}" xr6:coauthVersionLast="47" xr6:coauthVersionMax="47" xr10:uidLastSave="{00000000-0000-0000-0000-000000000000}"/>
  <bookViews>
    <workbookView xWindow="-98" yWindow="-98" windowWidth="19396" windowHeight="10276" firstSheet="6" activeTab="11" xr2:uid="{00000000-000D-0000-FFFF-FFFF00000000}"/>
  </bookViews>
  <sheets>
    <sheet name="Raw Data" sheetId="1" r:id="rId1"/>
    <sheet name="Cleaned Data" sheetId="2" r:id="rId2"/>
    <sheet name="Revenue Computations" sheetId="3" r:id="rId3"/>
    <sheet name="Monthly Summary" sheetId="4" r:id="rId4"/>
    <sheet name="Partner Performance" sheetId="5" r:id="rId5"/>
    <sheet name="Gateway Analysis" sheetId="6" r:id="rId6"/>
    <sheet name="Exposure Report" sheetId="7" r:id="rId7"/>
    <sheet name="Dashboard" sheetId="8" r:id="rId8"/>
    <sheet name="Gateway_Chart_Data" sheetId="9" state="hidden" r:id="rId9"/>
    <sheet name="Payment_Chart_Data" sheetId="10" state="hidden" r:id="rId10"/>
    <sheet name="Documentation" sheetId="11" r:id="rId11"/>
    <sheet name="VBA_Code_Reference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" i="8" l="1"/>
  <c r="C18" i="8"/>
  <c r="H15" i="8"/>
  <c r="E15" i="8"/>
  <c r="B15" i="8"/>
  <c r="H13" i="8"/>
  <c r="E13" i="8"/>
  <c r="B13" i="8"/>
  <c r="H11" i="8"/>
  <c r="E11" i="8"/>
  <c r="B11" i="8"/>
</calcChain>
</file>

<file path=xl/sharedStrings.xml><?xml version="1.0" encoding="utf-8"?>
<sst xmlns="http://schemas.openxmlformats.org/spreadsheetml/2006/main" count="1382" uniqueCount="303">
  <si>
    <t>Sr.No</t>
  </si>
  <si>
    <t>Institute Name</t>
  </si>
  <si>
    <t>Date &amp; Time</t>
  </si>
  <si>
    <t>Order ID</t>
  </si>
  <si>
    <t>Edviron order ID</t>
  </si>
  <si>
    <t>Order Amt</t>
  </si>
  <si>
    <t>Transaction Amt</t>
  </si>
  <si>
    <t>Payment Method</t>
  </si>
  <si>
    <t>payment_mode</t>
  </si>
  <si>
    <t>Status</t>
  </si>
  <si>
    <t>Student Name</t>
  </si>
  <si>
    <t>Phone No.</t>
  </si>
  <si>
    <t>Vendor Amount</t>
  </si>
  <si>
    <t>Gateway</t>
  </si>
  <si>
    <t>Capture Status</t>
  </si>
  <si>
    <t>Merchant Pricing</t>
  </si>
  <si>
    <t>Merchant Pricing Type</t>
  </si>
  <si>
    <t>Partner Pricing</t>
  </si>
  <si>
    <t>Partner Pricing Type</t>
  </si>
  <si>
    <t>Edviron Buying</t>
  </si>
  <si>
    <t>Edviron Buying type</t>
  </si>
  <si>
    <t>SBNM College of Pharmacy</t>
  </si>
  <si>
    <t>SMED0000002711</t>
  </si>
  <si>
    <t>67eb8f5ba0b8c5db0650bf9</t>
  </si>
  <si>
    <t>upi</t>
  </si>
  <si>
    <t>UPI</t>
  </si>
  <si>
    <t>SUCCESS</t>
  </si>
  <si>
    <t>Student_1</t>
  </si>
  <si>
    <t>9876543201</t>
  </si>
  <si>
    <t>NA</t>
  </si>
  <si>
    <t>CASHFREE</t>
  </si>
  <si>
    <t>FLAT</t>
  </si>
  <si>
    <t>SMED0000002712</t>
  </si>
  <si>
    <t>67eb8f5ba0b8c5db0650bf10</t>
  </si>
  <si>
    <t>Student_2</t>
  </si>
  <si>
    <t>9876543202</t>
  </si>
  <si>
    <t>SMED0000002713</t>
  </si>
  <si>
    <t>67eb8f5ba0b8c5db0650bf11</t>
  </si>
  <si>
    <t>Student_3</t>
  </si>
  <si>
    <t>9876543203</t>
  </si>
  <si>
    <t>SMED0000002714</t>
  </si>
  <si>
    <t>67eb8f5ba0b8c5db0650bf12</t>
  </si>
  <si>
    <t>Student_4</t>
  </si>
  <si>
    <t>9876543204</t>
  </si>
  <si>
    <t>SMED0000002715</t>
  </si>
  <si>
    <t>67eb8f5ba0b8c5db0650bf13</t>
  </si>
  <si>
    <t>Student_5</t>
  </si>
  <si>
    <t>9876543205</t>
  </si>
  <si>
    <t>SMED0000002716</t>
  </si>
  <si>
    <t>67eb8f5ba0b8c5db0650bf14</t>
  </si>
  <si>
    <t>Student_6</t>
  </si>
  <si>
    <t>SMED0000002717</t>
  </si>
  <si>
    <t>67eb8f5ba0b8c5db0650bf15</t>
  </si>
  <si>
    <t>Student_7</t>
  </si>
  <si>
    <t>R P College of Pharmacy</t>
  </si>
  <si>
    <t>SMED0000002718</t>
  </si>
  <si>
    <t>67eb8f5ba0b8c5db0650bf16</t>
  </si>
  <si>
    <t>Student_8</t>
  </si>
  <si>
    <t>SMED0000002719</t>
  </si>
  <si>
    <t>67eb8f5ba0b8c5db0650bf17</t>
  </si>
  <si>
    <t>Student_9</t>
  </si>
  <si>
    <t>SMED0000002720</t>
  </si>
  <si>
    <t>67eb8f5ba0b8c5db0650bf18</t>
  </si>
  <si>
    <t>Student_10</t>
  </si>
  <si>
    <t>9876543210</t>
  </si>
  <si>
    <t>ST MICHAEL'S SCHOOL FOR GIRLS</t>
  </si>
  <si>
    <t>SMED0000002721</t>
  </si>
  <si>
    <t>67eb8f5ba0b8c5db0650bf19</t>
  </si>
  <si>
    <t>Student_11</t>
  </si>
  <si>
    <t>9876543211</t>
  </si>
  <si>
    <t>EDVIRON_EASEBUZZ</t>
  </si>
  <si>
    <t>SMED0000002722</t>
  </si>
  <si>
    <t>67eb8f5ba0b8c5db0650bf20</t>
  </si>
  <si>
    <t>Student_12</t>
  </si>
  <si>
    <t>9876543212</t>
  </si>
  <si>
    <t>SMED0000002723</t>
  </si>
  <si>
    <t>67eb8f5ba0b8c5db0650bf21</t>
  </si>
  <si>
    <t>Student_13</t>
  </si>
  <si>
    <t>9876543213</t>
  </si>
  <si>
    <t>SMED0000002724</t>
  </si>
  <si>
    <t>67eb8f5ba0b8c5db0650bf22</t>
  </si>
  <si>
    <t>Student_14</t>
  </si>
  <si>
    <t>9876543214</t>
  </si>
  <si>
    <t>SMED0000002725</t>
  </si>
  <si>
    <t>67eb8f5ba0b8c5db0650bf23</t>
  </si>
  <si>
    <t>Student_15</t>
  </si>
  <si>
    <t>9876543215</t>
  </si>
  <si>
    <t>SMED0000002726</t>
  </si>
  <si>
    <t>67eb8f5ba0b8c5db0650bf24</t>
  </si>
  <si>
    <t>Student_16</t>
  </si>
  <si>
    <t>9876543216</t>
  </si>
  <si>
    <t>SMED0000002727</t>
  </si>
  <si>
    <t>67eb8f5ba0b8c5db0650bf25</t>
  </si>
  <si>
    <t>Student_17</t>
  </si>
  <si>
    <t>9876543217</t>
  </si>
  <si>
    <t>SMED0000002728</t>
  </si>
  <si>
    <t>67eb8f5ba0b8c5db0650bf26</t>
  </si>
  <si>
    <t>Student_18</t>
  </si>
  <si>
    <t>9876543218</t>
  </si>
  <si>
    <t>SMED0000002729</t>
  </si>
  <si>
    <t>67eb8f5ba0b8c5db0650bf27</t>
  </si>
  <si>
    <t>Student_19</t>
  </si>
  <si>
    <t>9876543219</t>
  </si>
  <si>
    <t>SMED0000002730</t>
  </si>
  <si>
    <t>67eb8f5ba0b8c5db0650bf28</t>
  </si>
  <si>
    <t>Student_20</t>
  </si>
  <si>
    <t>9876543220</t>
  </si>
  <si>
    <t>SMED0000002731</t>
  </si>
  <si>
    <t>67eb8f5ba0b8c5db0650bf29</t>
  </si>
  <si>
    <t>Student_21</t>
  </si>
  <si>
    <t>9876543221</t>
  </si>
  <si>
    <t>CAPTURED</t>
  </si>
  <si>
    <t>SMED0000002732</t>
  </si>
  <si>
    <t>67eb8f5ba0b8c5db0650bf30</t>
  </si>
  <si>
    <t>Student_22</t>
  </si>
  <si>
    <t>9876543222</t>
  </si>
  <si>
    <t>SMED0000002733</t>
  </si>
  <si>
    <t>67eb8f5ba0b8c5db0650bf31</t>
  </si>
  <si>
    <t>Student_23</t>
  </si>
  <si>
    <t>9876543223</t>
  </si>
  <si>
    <t>SMED0000002734</t>
  </si>
  <si>
    <t>67eb8f5ba0b8c5db0650bf32</t>
  </si>
  <si>
    <t>Student_24</t>
  </si>
  <si>
    <t>9876543224</t>
  </si>
  <si>
    <t>SMED0000002735</t>
  </si>
  <si>
    <t>67eb8f5ba0b8c5db0650bf33</t>
  </si>
  <si>
    <t>Student_25</t>
  </si>
  <si>
    <t>9876543225</t>
  </si>
  <si>
    <t>SMED0000002736</t>
  </si>
  <si>
    <t>67eb8f5ba0b8c5db0650bf34</t>
  </si>
  <si>
    <t>Others</t>
  </si>
  <si>
    <t>Student_26</t>
  </si>
  <si>
    <t>9876543226</t>
  </si>
  <si>
    <t>SMED0000002737</t>
  </si>
  <si>
    <t>67eb8f5ba0b8c5db0650bf35</t>
  </si>
  <si>
    <t>Student_27</t>
  </si>
  <si>
    <t>9876543227</t>
  </si>
  <si>
    <t>SMED0000002738</t>
  </si>
  <si>
    <t>67eb8f5ba0b8c5db0650bf36</t>
  </si>
  <si>
    <t>Student_28</t>
  </si>
  <si>
    <t>9876543228</t>
  </si>
  <si>
    <t>SMED0000002739</t>
  </si>
  <si>
    <t>67eb8f5ba0b8c5db0650bf37</t>
  </si>
  <si>
    <t>Student_29</t>
  </si>
  <si>
    <t>9876543229</t>
  </si>
  <si>
    <t>SMED0000002740</t>
  </si>
  <si>
    <t>67eb8f5ba0b8c5db0650bf38</t>
  </si>
  <si>
    <t>Student_30</t>
  </si>
  <si>
    <t>9876543230</t>
  </si>
  <si>
    <t>SMED0000002741</t>
  </si>
  <si>
    <t>67eb8f5ba0b8c5db0650bf39</t>
  </si>
  <si>
    <t>netbanking</t>
  </si>
  <si>
    <t>Student_31</t>
  </si>
  <si>
    <t>9876543231</t>
  </si>
  <si>
    <t>SMED0000002742</t>
  </si>
  <si>
    <t>67eb8f5ba0b8c5db0650bf40</t>
  </si>
  <si>
    <t>Student_32</t>
  </si>
  <si>
    <t>9876543232</t>
  </si>
  <si>
    <t>SMED0000002743</t>
  </si>
  <si>
    <t>67eb8f5ba0b8c5db0650bf41</t>
  </si>
  <si>
    <t>Student_33</t>
  </si>
  <si>
    <t>9876543233</t>
  </si>
  <si>
    <t>SMED0000002744</t>
  </si>
  <si>
    <t>67eb8f5ba0b8c5db0650bf42</t>
  </si>
  <si>
    <t>Student_34</t>
  </si>
  <si>
    <t>9876543234</t>
  </si>
  <si>
    <t>SMED0000002745</t>
  </si>
  <si>
    <t>67eb8f5ba0b8c5db0650bf43</t>
  </si>
  <si>
    <t>Student_35</t>
  </si>
  <si>
    <t>9876543235</t>
  </si>
  <si>
    <t>SMED0000002746</t>
  </si>
  <si>
    <t>67eb8f5ba0b8c5db0650bf44</t>
  </si>
  <si>
    <t>Student_36</t>
  </si>
  <si>
    <t>9876543236</t>
  </si>
  <si>
    <t>SMED0000002747</t>
  </si>
  <si>
    <t>67eb8f5ba0b8c5db0650bf45</t>
  </si>
  <si>
    <t>Student_37</t>
  </si>
  <si>
    <t>9876543237</t>
  </si>
  <si>
    <t>SMED0000002748</t>
  </si>
  <si>
    <t>67eb8f5ba0b8c5db0650bf46</t>
  </si>
  <si>
    <t>Student_38</t>
  </si>
  <si>
    <t>9876543238</t>
  </si>
  <si>
    <t>SMED0000002749</t>
  </si>
  <si>
    <t>67eb8f5ba0b8c5db0650bf47</t>
  </si>
  <si>
    <t>Student_39</t>
  </si>
  <si>
    <t>9876543239</t>
  </si>
  <si>
    <t>SMED0000002750</t>
  </si>
  <si>
    <t>67eb8f5ba0b8c5db0650bf48</t>
  </si>
  <si>
    <t>Student_40</t>
  </si>
  <si>
    <t>9876543240</t>
  </si>
  <si>
    <t>SMED0000002751</t>
  </si>
  <si>
    <t>67eb8f5ba0b8c5db0650bf49</t>
  </si>
  <si>
    <t>card</t>
  </si>
  <si>
    <t>NB</t>
  </si>
  <si>
    <t>Student_41</t>
  </si>
  <si>
    <t>9876543241</t>
  </si>
  <si>
    <t>SMED0000002752</t>
  </si>
  <si>
    <t>67eb8f5ba0b8c5db0650bf50</t>
  </si>
  <si>
    <t>Student_42</t>
  </si>
  <si>
    <t>9876543242</t>
  </si>
  <si>
    <t>SMED0000002753</t>
  </si>
  <si>
    <t>67eb8f5ba0b8c5db0650bf51</t>
  </si>
  <si>
    <t>Student_43</t>
  </si>
  <si>
    <t>9876543243</t>
  </si>
  <si>
    <t>SMED0000002754</t>
  </si>
  <si>
    <t>67eb8f5ba0b8c5db0650bf52</t>
  </si>
  <si>
    <t>Student_44</t>
  </si>
  <si>
    <t>9876543244</t>
  </si>
  <si>
    <t>SMED0000002755</t>
  </si>
  <si>
    <t>67eb8f5ba0b8c5db0650bf53</t>
  </si>
  <si>
    <t>Student_45</t>
  </si>
  <si>
    <t>9876543245</t>
  </si>
  <si>
    <t>SMED0000002756</t>
  </si>
  <si>
    <t>67eb8f5ba0b8c5db0650bf54</t>
  </si>
  <si>
    <t>FAILED</t>
  </si>
  <si>
    <t>Student_46</t>
  </si>
  <si>
    <t>9876543246</t>
  </si>
  <si>
    <t>RAZORPAY</t>
  </si>
  <si>
    <t>SMED0000002757</t>
  </si>
  <si>
    <t>67eb8f5ba0b8c5db0650bf55</t>
  </si>
  <si>
    <t>Student_47</t>
  </si>
  <si>
    <t>9876543247</t>
  </si>
  <si>
    <t>SMED0000002758</t>
  </si>
  <si>
    <t>67eb8f5ba0b8c5db0650bf56</t>
  </si>
  <si>
    <t>Student_48</t>
  </si>
  <si>
    <t>9876543248</t>
  </si>
  <si>
    <t>SMED0000002759</t>
  </si>
  <si>
    <t>67eb8f5ba0b8c5db0650bf57</t>
  </si>
  <si>
    <t>PENDING</t>
  </si>
  <si>
    <t>Student_49</t>
  </si>
  <si>
    <t>9876543249</t>
  </si>
  <si>
    <t>SMED0000002760</t>
  </si>
  <si>
    <t>67eb8f5ba0b8c5db0650bf58</t>
  </si>
  <si>
    <t>Student_50</t>
  </si>
  <si>
    <t>9876543250</t>
  </si>
  <si>
    <t>Merchant_Price_ABS</t>
  </si>
  <si>
    <t>Partner_Price_ABS</t>
  </si>
  <si>
    <t>Edviron_Buying_ABS</t>
  </si>
  <si>
    <t>Date</t>
  </si>
  <si>
    <t>Month_Name</t>
  </si>
  <si>
    <t>January 2025</t>
  </si>
  <si>
    <t>February 2025</t>
  </si>
  <si>
    <t>March 2025</t>
  </si>
  <si>
    <t>April 2025</t>
  </si>
  <si>
    <t>May 2025</t>
  </si>
  <si>
    <t>ERP_Revenue</t>
  </si>
  <si>
    <t>Edviron_Net_Revenue</t>
  </si>
  <si>
    <t>Edviron_Gross_Revenue</t>
  </si>
  <si>
    <t>Gateway_Fee</t>
  </si>
  <si>
    <t>Amount_Payable_to_ERP</t>
  </si>
  <si>
    <t>Amount_Retained_By_Edviron</t>
  </si>
  <si>
    <t>Month</t>
  </si>
  <si>
    <t>Total_Transactions</t>
  </si>
  <si>
    <t>Total_GMV</t>
  </si>
  <si>
    <t>Unique_Users</t>
  </si>
  <si>
    <t>Partner_ERP</t>
  </si>
  <si>
    <t>Transactions</t>
  </si>
  <si>
    <t>GMV</t>
  </si>
  <si>
    <t>ERP_Take_Rate_%</t>
  </si>
  <si>
    <t>Edviron_Take_Rate_%</t>
  </si>
  <si>
    <t>Total_Amount</t>
  </si>
  <si>
    <t>Pending_Exposure</t>
  </si>
  <si>
    <t>ERP_Payable_Outstanding</t>
  </si>
  <si>
    <t>Edviron_Receivable_Risk</t>
  </si>
  <si>
    <t>Count</t>
  </si>
  <si>
    <t>EDVIRON REVENUE ANALYTICS DASHBOARD</t>
  </si>
  <si>
    <t>Interactive Revenue &amp; Commission Analytics</t>
  </si>
  <si>
    <t>FILTERS (Set values to filter - VBA will process these)</t>
  </si>
  <si>
    <t>Start Date:</t>
  </si>
  <si>
    <t>2025-01-01</t>
  </si>
  <si>
    <t>Partner (ERP):</t>
  </si>
  <si>
    <t>ALL</t>
  </si>
  <si>
    <t>Payment Method:</t>
  </si>
  <si>
    <t>End Date:</t>
  </si>
  <si>
    <t>2026-12-31</t>
  </si>
  <si>
    <t>Gateway:</t>
  </si>
  <si>
    <t>KEY METRICS</t>
  </si>
  <si>
    <t>Total Transactions</t>
  </si>
  <si>
    <t>Total GMV (₹)</t>
  </si>
  <si>
    <t>ERP Revenue (₹)</t>
  </si>
  <si>
    <t>Edviron Net Revenue (₹)</t>
  </si>
  <si>
    <t>Edviron Gross Revenue (₹)</t>
  </si>
  <si>
    <t>Pending Exposure (₹)</t>
  </si>
  <si>
    <t>Unique Users</t>
  </si>
  <si>
    <t>Avg Transaction (₹)</t>
  </si>
  <si>
    <t>Success Rate (%)</t>
  </si>
  <si>
    <t>Revenue Split Data</t>
  </si>
  <si>
    <t>ERP Revenue</t>
  </si>
  <si>
    <t>Edviron Net</t>
  </si>
  <si>
    <t>TOP PERFORMERS</t>
  </si>
  <si>
    <t>Rank</t>
  </si>
  <si>
    <t>Partner Name</t>
  </si>
  <si>
    <t>GMV (₹)</t>
  </si>
  <si>
    <t>Edviron Revenue (₹)</t>
  </si>
  <si>
    <t>EDVIRON REVENUE ANALYTICS - PROJECT DOCUMENTATION</t>
  </si>
  <si>
    <t>1. REVENUE LOGIC EXPLANATION</t>
  </si>
  <si>
    <t xml:space="preserve">
BUSINESS MODEL:
Three pricing layers in Edviron's payment processing platform:
• Edviron Buying Price: Cost to Edviron
• Partner Pricing (ERP): Rate Edviron sells to ERP partners  
• Merchant Pricing (School): Rate ERP sells to schools
REVENUE FORMULAS:
1. ERP Revenue = Merchant Pricing – Partner Pricing
2. Edviron Net Revenue = Partner Pricing – Edviron Buying
3. Edviron Gross Revenue = ERP Revenue + Edviron Net Revenue
SETTLEMENT FLOW:
• Gateway settles gross amount to Edviron
• Edviron settles ERP's share (Order Amount - Partner Pricing)
• Edviron retains Gross Revenue portion
</t>
  </si>
  <si>
    <t>2. ASSUMPTIONS MADE</t>
  </si>
  <si>
    <t xml:space="preserve">
DATA CLEANING:
• Missing phone numbers → 'NOT_PROVIDED'
• Missing capture status → 'PENDING'
• 'NA' vendor amounts → 0
• Status values standardized to uppercase
PRICING CONVERSION:
• FLAT pricing → absolute INR value
• PERCENTAGE pricing → % of Order Amount
• All pricing converted to absolute INR per transaction
REVENUE CALCULATION:
• Revenue only recognized for SUCCESS status
• FAILED transactions: no revenue, but gateway fees apply
• PENDING transactions: included in exposure, not revenue
• Gateway fees = Transaction Amount - Order Amount
MISSING DATA:
• Empty Edviron Buying price → 0 (zero cost)
• Blank capture status → pending capture (unsettled funds risk)
</t>
  </si>
  <si>
    <t>3. HOW TO USE THIS WORKBOOK</t>
  </si>
  <si>
    <t xml:space="preserve">
STEP 1: Review Data
• Raw Data sheet: Original uncleaned data
• Cleaned Data: Normalized with helper columns
• Revenue Computations: All calculations per transaction
STEP 2: View Reports
• Monthly Summary: Aggregated by month
• Partner Performance: ERP-wise analytics
• Gateway Analysis: Payment gateway stats
• Exposure Report: Risk analysis
STEP 3: Use Dashboard
• Dashboard sheet shows key metrics with LIVE formulas
• Charts update automatically when source data changes
• Filter cells (yellow/blue) can be used with VBA (see below)
STEP 4: Add VBA (Optional but Recommended)
• Press Alt+F11 to open VBA Editor
• Insert → Module
• Copy VBA code from VBA_Code_Reference sheet
• Paste into module
• Save as .xlsm file
• Use Refresh button to enable dynamic filtering
</t>
  </si>
  <si>
    <t>VBA CODE - COPY TO VBA EDITOR (Alt+F11)</t>
  </si>
  <si>
    <t xml:space="preserve">
' ============================================================================
' EDVIRON REVENUE DASHBOARD VBA CODE
' ============================================================================
' INSTRUCTIONS:
' 1. Press Alt+F11 to open VBA Editor
' 2. Insert → Module
' 3. Copy ALL code below into the module
' 4. Save workbook as .xlsm (Macro-Enabled)
' 5. Return to Excel and use Refresh button
' ============================================================================
Option Explicit
Public gStartDate As Date
Public gEndDate As Date
Public gPartnerFilter As String
Public gGatewayFilter As String
Public gPaymentMethodFilter As String
Sub RefreshDashboard()
    Application.ScreenUpdating = False
    Application.Calculation = xlCalculationManual
    On Error GoTo ErrorHandler
    Call ReadFilterValues
    Call ApplyFilters
    Call CalculateMetrics
    Call UpdateCharts
    MsgBox "Dashboard refreshed successfully!", vbInformation, "Success"
ExitSub:
    Application.Calculation = xlCalculationAutomatic
    Application.ScreenUpdating = True
    Exit Sub
ErrorHandler:
    MsgBox "Error: " &amp; Err.Description, vbCritical, "Error"
    Resume ExitSub
End Sub
Sub ReadFilterValues()
    Dim ws As Worksheet
    Set ws = ThisWorkbook.Sheets("Dashboard")
    On Error Resume Next
    gStartDate = CDate(ws.Range("C6").Value)
    gEndDate = CDate(ws.Range("C7").Value)
    gPartnerFilter = CStr(ws.Range("F6").Value)
    gGatewayFilter = CStr(ws.Range("F7").Value)
    gPaymentMethodFilter = CStr(ws.Range("I6").Value)
    On Error GoTo 0
    If gPartnerFilter = "" Then gPartnerFilter = "ALL"
    If gGatewayFilter = "" Then gGatewayFilter = "ALL"
    If gPaymentMethodFilter = "" Then gPaymentMethodFilter = "ALL"
End Sub
Sub ApplyFilters()
    Dim wsSource As Worksheet
    Dim wsTemp As Worksheet
    Dim lastRow As Long
    Dim i As Long
    Dim includeRow As Boolean
    Set wsSource = ThisWorkbook.Sheets("Revenue Computations")
    On Error Resume Next
    Application.DisplayAlerts = False
    Set wsTemp = ThisWorkbook.Sheets("Filtered_Data")
    If Not wsTemp Is Nothing Then
        wsTemp.Delete
    End If
    Application.DisplayAlerts = True
    On Error GoTo 0
    Set wsTemp = ThisWorkbook.Sheets.Add(After:=wsSource)
    wsTemp.Name = "Filtered_Data"
    wsTemp.Visible = xlSheetVeryHidden
    wsSource.Rows(1).Copy Destination:=wsTemp.Rows(1)
    lastRow = wsSource.Cells(wsSource.Rows.Count, "A").End(xlUp).Row
    For i = 2 To lastRow
        includeRow = True
        ' Date filter (Column C = Date)
        If IsDate(wsSource.Cells(i, 3).Value) Then
            If CDate(wsSource.Cells(i, 3).Value) &lt; gStartDate Or CDate(wsSource.Cells(i, 3).Value) &gt; gEndDate Then
                includeRow = False
            End If
        End If
        ' Partner filter (Column B = Institute Name)
        If gPartnerFilter &lt;&gt; "ALL" And includeRow Then
            If InStr(1, wsSource.Cells(i, 2).Value, gPartnerFilter, vbTextCompare) = 0 Then
                includeRow = False
            End If
        End If
        If includeRow Then
            wsSource.Rows(i).Copy Destination:=wsTemp.Cells(wsTemp.Rows.Count, 1).End(xlUp).Offset(1, 0)
        End If
    Next i
End Sub
Sub CalculateMetrics()
    Dim wsDash As Worksheet
    Dim wsTemp As Worksheet
    Set wsDash = ThisWorkbook.Sheets("Dashboard")
    On Error Resume Next
    Set wsTemp = ThisWorkbook.Sheets("Filtered_Data")
    On Error GoTo 0
    If wsTemp Is Nothing Then Exit Sub
    If wsTemp.Cells(wsTemp.Rows.Count, "A").End(xlUp).Row &lt; 2 Then
        MsgBox "No data matches the selected filters!", vbExclamation
        Exit Sub
    End If
    ' Update formulas to reference filtered data
    With wsDash
        .Range("C10").Formula = "=COUNTA(Filtered_Data!A:A)-1"
        .Range("C11").Formula = "=SUMIF(Filtered_Data!O:O,""SUCCESS"",Filtered_Data!D:D)"
        .Range("C13").Formula = "=SUMIF(Filtered_Data!O:O,""SUCCESS"",Filtered_Data!I:I)"
        .Range("C15").Formula = "=SUMIF(Filtered_Data!O:O,""SUCCESS"",Filtered_Data!J:J)"
        .Range("C17").Formula = "=SUMIF(Filtered_Data!O:O,""SUCCESS"",Filtered_Data!K:K)"
    End With
End Sub
Sub UpdateCharts()
    Dim wsDash As Worksheet
    Dim cht As ChartObject
    Set wsDash = ThisWorkbook.Sheets("Dashboard")
    ' Refresh all charts
    For Each cht In wsDash.ChartObjects
        cht.Chart.Refresh
    Next cht
End Sub
Sub ResetFilters()
    Dim ws As Worksheet
    Set ws = ThisWorkbook.Sheets("Dashboard")
    ws.Range("C6").Value = "2025-01-01"
    ws.Range("C7").Value = "2026-12-31"
    ws.Range("F6").Value = "ALL"
    ws.Range("F7").Value = "ALL"
    ws.Range("I6").Value = "ALL"
    Call RefreshDashboard
End Sub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</si>
</sst>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:mm:ss"/>
    <numFmt numFmtId="165" formatCode="yyyy\-mm\-dd"/>
    <numFmt numFmtId="166" formatCode="\₹#,##0.00"/>
    <numFmt numFmtId="167" formatCode="0.00&quot;%&quot;"/>
  </numFmts>
  <fonts count="12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8"/>
      <color rgb="FF1F4E78"/>
      <name val="Calibri"/>
    </font>
    <font>
      <i/>
      <sz val="11"/>
      <color rgb="FF666666"/>
      <name val="Calibri"/>
    </font>
    <font>
      <b/>
      <sz val="12"/>
      <color rgb="FFFFFFFF"/>
      <name val="Calibri"/>
    </font>
    <font>
      <b/>
      <sz val="14"/>
      <color rgb="FF1F4E78"/>
      <name val="Calibri"/>
    </font>
    <font>
      <b/>
      <sz val="10"/>
      <name val="Calibri"/>
    </font>
    <font>
      <b/>
      <sz val="12"/>
      <color rgb="FF1F4E78"/>
      <name val="Calibri"/>
    </font>
    <font>
      <b/>
      <sz val="16"/>
      <color rgb="FF1F4E78"/>
      <name val="Calibri"/>
    </font>
    <font>
      <b/>
      <sz val="12"/>
      <color rgb="FF366092"/>
      <name val="Calibri"/>
    </font>
    <font>
      <b/>
      <sz val="14"/>
      <color rgb="FFC00000"/>
      <name val="Calibri"/>
    </font>
    <font>
      <sz val="9"/>
      <name val="Consolas"/>
    </font>
  </fonts>
  <fills count="6">
    <fill>
      <patternFill patternType="none"/>
    </fill>
    <fill>
      <patternFill patternType="gray125"/>
    </fill>
    <fill>
      <patternFill patternType="solid">
        <fgColor rgb="FF366092"/>
        <bgColor rgb="FF366092"/>
      </patternFill>
    </fill>
    <fill>
      <patternFill patternType="solid">
        <fgColor rgb="FFFFFFCC"/>
        <bgColor rgb="FFFFFFCC"/>
      </patternFill>
    </fill>
    <fill>
      <patternFill patternType="solid">
        <fgColor rgb="FFE6F3FF"/>
        <bgColor rgb="FFE6F3FF"/>
      </patternFill>
    </fill>
    <fill>
      <patternFill patternType="solid">
        <fgColor rgb="FFD9E1F2"/>
        <bgColor rgb="FFD9E1F2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3" fontId="0" fillId="0" borderId="0" xfId="0" applyNumberFormat="1"/>
    <xf numFmtId="167" fontId="0" fillId="0" borderId="0" xfId="0" applyNumberFormat="1"/>
    <xf numFmtId="0" fontId="0" fillId="3" borderId="0" xfId="0" applyFill="1"/>
    <xf numFmtId="0" fontId="0" fillId="4" borderId="0" xfId="0" applyFill="1"/>
    <xf numFmtId="0" fontId="6" fillId="0" borderId="0" xfId="0" applyFont="1"/>
    <xf numFmtId="0" fontId="1" fillId="2" borderId="0" xfId="0" applyFont="1" applyFill="1" applyAlignment="1">
      <alignment horizontal="center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top" wrapText="1"/>
    </xf>
    <xf numFmtId="0" fontId="10" fillId="0" borderId="0" xfId="0" applyFont="1"/>
    <xf numFmtId="0" fontId="11" fillId="0" borderId="0" xfId="0" applyFont="1" applyAlignment="1">
      <alignment vertical="top"/>
    </xf>
    <xf numFmtId="0" fontId="6" fillId="5" borderId="0" xfId="0" applyFont="1" applyFill="1"/>
    <xf numFmtId="0" fontId="0" fillId="0" borderId="0" xfId="0"/>
    <xf numFmtId="0" fontId="3" fillId="0" borderId="0" xfId="0" applyFont="1" applyAlignment="1">
      <alignment horizontal="center"/>
    </xf>
    <xf numFmtId="0" fontId="7" fillId="0" borderId="0" xfId="0" applyFont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/>
    </xf>
    <xf numFmtId="0" fontId="5" fillId="0" borderId="0" xfId="0" applyFont="1"/>
    <xf numFmtId="10" fontId="5" fillId="0" borderId="0" xfId="0" applyNumberFormat="1" applyFont="1" applyAlignment="1">
      <alignment horizontal="center"/>
    </xf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en-IN"/>
              <a:t>Revenue Split: Edviron vs ERP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Dashboard!$C$17</c:f>
              <c:strCache>
                <c:ptCount val="1"/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Dashboard!$B$18:$B$19</c:f>
              <c:strCache>
                <c:ptCount val="2"/>
                <c:pt idx="0">
                  <c:v>ERP Revenue</c:v>
                </c:pt>
                <c:pt idx="1">
                  <c:v>Edviron Net</c:v>
                </c:pt>
              </c:strCache>
            </c:strRef>
          </c:cat>
          <c:val>
            <c:numRef>
              <c:f>Dashboard!$C$18:$C$19</c:f>
              <c:numCache>
                <c:formatCode>\₹#,##0.00</c:formatCode>
                <c:ptCount val="2"/>
                <c:pt idx="0">
                  <c:v>0</c:v>
                </c:pt>
                <c:pt idx="1">
                  <c:v>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9-4939-9B7C-BE94076598CB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IN"/>
              <a:t>Monthly Revenue Trend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'Monthly Summary'!$D$1</c:f>
              <c:strCache>
                <c:ptCount val="1"/>
                <c:pt idx="0">
                  <c:v>ERP_Revenue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'Monthly Summary'!$A$2:$A$6</c:f>
              <c:strCache>
                <c:ptCount val="5"/>
                <c:pt idx="0">
                  <c:v>April 2025</c:v>
                </c:pt>
                <c:pt idx="1">
                  <c:v>February 2025</c:v>
                </c:pt>
                <c:pt idx="2">
                  <c:v>January 2025</c:v>
                </c:pt>
                <c:pt idx="3">
                  <c:v>March 2025</c:v>
                </c:pt>
                <c:pt idx="4">
                  <c:v>May 2025</c:v>
                </c:pt>
              </c:strCache>
            </c:strRef>
          </c:cat>
          <c:val>
            <c:numRef>
              <c:f>'Monthly Summary'!$D$2:$D$6</c:f>
              <c:numCache>
                <c:formatCode>\₹#,##0.00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5AF-4C4B-B7A3-F4597AFE6688}"/>
            </c:ext>
          </c:extLst>
        </c:ser>
        <c:ser>
          <c:idx val="1"/>
          <c:order val="1"/>
          <c:tx>
            <c:strRef>
              <c:f>'Monthly Summary'!$E$1</c:f>
              <c:strCache>
                <c:ptCount val="1"/>
                <c:pt idx="0">
                  <c:v>Edviron_Net_Revenue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'Monthly Summary'!$A$2:$A$6</c:f>
              <c:strCache>
                <c:ptCount val="5"/>
                <c:pt idx="0">
                  <c:v>April 2025</c:v>
                </c:pt>
                <c:pt idx="1">
                  <c:v>February 2025</c:v>
                </c:pt>
                <c:pt idx="2">
                  <c:v>January 2025</c:v>
                </c:pt>
                <c:pt idx="3">
                  <c:v>March 2025</c:v>
                </c:pt>
                <c:pt idx="4">
                  <c:v>May 2025</c:v>
                </c:pt>
              </c:strCache>
            </c:strRef>
          </c:cat>
          <c:val>
            <c:numRef>
              <c:f>'Monthly Summary'!$E$2:$E$6</c:f>
              <c:numCache>
                <c:formatCode>\₹#,##0.00</c:formatCode>
                <c:ptCount val="5"/>
                <c:pt idx="0">
                  <c:v>20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9.5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AF-4C4B-B7A3-F4597AFE6688}"/>
            </c:ext>
          </c:extLst>
        </c:ser>
        <c:ser>
          <c:idx val="2"/>
          <c:order val="2"/>
          <c:tx>
            <c:strRef>
              <c:f>'Monthly Summary'!$F$1</c:f>
              <c:strCache>
                <c:ptCount val="1"/>
                <c:pt idx="0">
                  <c:v>Edviron_Gross_Revenue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'Monthly Summary'!$A$2:$A$6</c:f>
              <c:strCache>
                <c:ptCount val="5"/>
                <c:pt idx="0">
                  <c:v>April 2025</c:v>
                </c:pt>
                <c:pt idx="1">
                  <c:v>February 2025</c:v>
                </c:pt>
                <c:pt idx="2">
                  <c:v>January 2025</c:v>
                </c:pt>
                <c:pt idx="3">
                  <c:v>March 2025</c:v>
                </c:pt>
                <c:pt idx="4">
                  <c:v>May 2025</c:v>
                </c:pt>
              </c:strCache>
            </c:strRef>
          </c:cat>
          <c:val>
            <c:numRef>
              <c:f>'Monthly Summary'!$F$2:$F$6</c:f>
              <c:numCache>
                <c:formatCode>\₹#,##0.00</c:formatCode>
                <c:ptCount val="5"/>
                <c:pt idx="0">
                  <c:v>20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9.5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AF-4C4B-B7A3-F4597AFE6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Month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Revenue (₹)</a:t>
                </a:r>
              </a:p>
            </c:rich>
          </c:tx>
          <c:overlay val="1"/>
        </c:title>
        <c:numFmt formatCode="\₹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0"/>
  <c:chart>
    <c:title>
      <c:tx>
        <c:rich>
          <a:bodyPr/>
          <a:lstStyle/>
          <a:p>
            <a:pPr>
              <a:defRPr/>
            </a:pPr>
            <a:r>
              <a:rPr lang="en-IN"/>
              <a:t>Gateway-wise Volume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Gateway_Chart_Data!$B$1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Gateway_Chart_Data!$A$2:$A$3</c:f>
              <c:strCache>
                <c:ptCount val="2"/>
                <c:pt idx="0">
                  <c:v>CASHFREE</c:v>
                </c:pt>
                <c:pt idx="1">
                  <c:v>EDVIRON_EASEBUZZ</c:v>
                </c:pt>
              </c:strCache>
            </c:strRef>
          </c:cat>
          <c:val>
            <c:numRef>
              <c:f>Gateway_Chart_Data!$B$2:$B$3</c:f>
              <c:numCache>
                <c:formatCode>General</c:formatCode>
                <c:ptCount val="2"/>
                <c:pt idx="0">
                  <c:v>10</c:v>
                </c:pt>
                <c:pt idx="1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D8-4485-ACDD-B9845B63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Transaction Count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13"/>
  <c:chart>
    <c:title>
      <c:tx>
        <c:rich>
          <a:bodyPr/>
          <a:lstStyle/>
          <a:p>
            <a:pPr>
              <a:defRPr/>
            </a:pPr>
            <a:r>
              <a:rPr lang="en-IN"/>
              <a:t>Payment Method Mix</a:t>
            </a:r>
          </a:p>
        </c:rich>
      </c:tx>
      <c:overlay val="1"/>
    </c:title>
    <c:autoTitleDeleted val="0"/>
    <c:plotArea>
      <c:layout/>
      <c:pieChart>
        <c:varyColors val="1"/>
        <c:ser>
          <c:idx val="0"/>
          <c:order val="0"/>
          <c:tx>
            <c:strRef>
              <c:f>Payment_Chart_Data!$B$1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showLegendKey val="1"/>
            <c:showVal val="1"/>
            <c:showCatName val="1"/>
            <c:showSerName val="1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Payment_Chart_Data!$A$2:$A$4</c:f>
              <c:strCache>
                <c:ptCount val="3"/>
                <c:pt idx="0">
                  <c:v>card</c:v>
                </c:pt>
                <c:pt idx="1">
                  <c:v>netbanking</c:v>
                </c:pt>
                <c:pt idx="2">
                  <c:v>upi</c:v>
                </c:pt>
              </c:strCache>
            </c:strRef>
          </c:cat>
          <c:val>
            <c:numRef>
              <c:f>Payment_Chart_Data!$B$2:$B$4</c:f>
              <c:numCache>
                <c:formatCode>General</c:formatCode>
                <c:ptCount val="3"/>
                <c:pt idx="0">
                  <c:v>5</c:v>
                </c:pt>
                <c:pt idx="1">
                  <c:v>10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CD-4640-80CF-3BCD93067B29}"/>
            </c:ext>
          </c:extLst>
        </c:ser>
        <c:dLbls>
          <c:showLegendKey val="1"/>
          <c:showVal val="1"/>
          <c:showCatName val="1"/>
          <c:showSerName val="1"/>
          <c:showPercent val="1"/>
          <c:showBubbleSize val="1"/>
          <c:showLeaderLines val="1"/>
        </c:dLbls>
        <c:firstSliceAng val="0"/>
      </c:pieChart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20</xdr:row>
      <xdr:rowOff>0</xdr:rowOff>
    </xdr:from>
    <xdr:ext cx="432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20</xdr:row>
      <xdr:rowOff>0</xdr:rowOff>
    </xdr:from>
    <xdr:ext cx="540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34</xdr:row>
      <xdr:rowOff>0</xdr:rowOff>
    </xdr:from>
    <xdr:ext cx="4320000" cy="36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5</xdr:col>
      <xdr:colOff>0</xdr:colOff>
      <xdr:row>34</xdr:row>
      <xdr:rowOff>0</xdr:rowOff>
    </xdr:from>
    <xdr:ext cx="540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51"/>
  <sheetViews>
    <sheetView workbookViewId="0"/>
  </sheetViews>
  <sheetFormatPr defaultRowHeight="14.25" x14ac:dyDescent="0.45"/>
  <sheetData>
    <row r="1" spans="1:2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</row>
    <row r="2" spans="1:21" x14ac:dyDescent="0.45">
      <c r="A2">
        <v>1</v>
      </c>
      <c r="B2" t="s">
        <v>21</v>
      </c>
      <c r="C2" s="2">
        <v>45661</v>
      </c>
      <c r="D2" t="s">
        <v>22</v>
      </c>
      <c r="E2" t="s">
        <v>23</v>
      </c>
      <c r="F2">
        <v>45468</v>
      </c>
      <c r="G2">
        <v>3755</v>
      </c>
      <c r="H2" t="s">
        <v>24</v>
      </c>
      <c r="I2" t="s">
        <v>25</v>
      </c>
      <c r="J2" t="s">
        <v>26</v>
      </c>
      <c r="K2" t="s">
        <v>27</v>
      </c>
      <c r="L2" t="s">
        <v>28</v>
      </c>
      <c r="M2" t="s">
        <v>29</v>
      </c>
      <c r="N2" t="s">
        <v>30</v>
      </c>
      <c r="P2">
        <v>2</v>
      </c>
      <c r="Q2" t="s">
        <v>31</v>
      </c>
      <c r="R2">
        <v>2</v>
      </c>
      <c r="S2" t="s">
        <v>31</v>
      </c>
      <c r="T2">
        <v>0</v>
      </c>
      <c r="U2" t="s">
        <v>31</v>
      </c>
    </row>
    <row r="3" spans="1:21" x14ac:dyDescent="0.45">
      <c r="A3">
        <v>2</v>
      </c>
      <c r="B3" t="s">
        <v>21</v>
      </c>
      <c r="C3" s="2">
        <v>45664</v>
      </c>
      <c r="D3" t="s">
        <v>32</v>
      </c>
      <c r="E3" t="s">
        <v>33</v>
      </c>
      <c r="F3">
        <v>23917</v>
      </c>
      <c r="G3">
        <v>21902</v>
      </c>
      <c r="H3" t="s">
        <v>24</v>
      </c>
      <c r="I3" t="s">
        <v>25</v>
      </c>
      <c r="J3" t="s">
        <v>26</v>
      </c>
      <c r="K3" t="s">
        <v>34</v>
      </c>
      <c r="L3" t="s">
        <v>35</v>
      </c>
      <c r="M3" t="s">
        <v>29</v>
      </c>
      <c r="N3" t="s">
        <v>30</v>
      </c>
      <c r="P3">
        <v>2</v>
      </c>
      <c r="Q3" t="s">
        <v>31</v>
      </c>
      <c r="R3">
        <v>2</v>
      </c>
      <c r="S3" t="s">
        <v>31</v>
      </c>
      <c r="T3">
        <v>0</v>
      </c>
      <c r="U3" t="s">
        <v>31</v>
      </c>
    </row>
    <row r="4" spans="1:21" x14ac:dyDescent="0.45">
      <c r="A4">
        <v>3</v>
      </c>
      <c r="B4" t="s">
        <v>21</v>
      </c>
      <c r="C4" s="2">
        <v>45667</v>
      </c>
      <c r="D4" t="s">
        <v>36</v>
      </c>
      <c r="E4" t="s">
        <v>37</v>
      </c>
      <c r="F4">
        <v>46047</v>
      </c>
      <c r="G4">
        <v>61826</v>
      </c>
      <c r="H4" t="s">
        <v>24</v>
      </c>
      <c r="I4" t="s">
        <v>25</v>
      </c>
      <c r="J4" t="s">
        <v>26</v>
      </c>
      <c r="K4" t="s">
        <v>38</v>
      </c>
      <c r="L4" t="s">
        <v>39</v>
      </c>
      <c r="M4" t="s">
        <v>29</v>
      </c>
      <c r="N4" t="s">
        <v>30</v>
      </c>
      <c r="P4">
        <v>2</v>
      </c>
      <c r="Q4" t="s">
        <v>31</v>
      </c>
      <c r="R4">
        <v>2</v>
      </c>
      <c r="S4" t="s">
        <v>31</v>
      </c>
      <c r="T4">
        <v>0</v>
      </c>
      <c r="U4" t="s">
        <v>31</v>
      </c>
    </row>
    <row r="5" spans="1:21" x14ac:dyDescent="0.45">
      <c r="A5">
        <v>4</v>
      </c>
      <c r="B5" t="s">
        <v>21</v>
      </c>
      <c r="C5" s="2">
        <v>45670</v>
      </c>
      <c r="D5" t="s">
        <v>40</v>
      </c>
      <c r="E5" t="s">
        <v>41</v>
      </c>
      <c r="F5">
        <v>31251</v>
      </c>
      <c r="G5">
        <v>58107</v>
      </c>
      <c r="H5" t="s">
        <v>24</v>
      </c>
      <c r="I5" t="s">
        <v>25</v>
      </c>
      <c r="J5" t="s">
        <v>26</v>
      </c>
      <c r="K5" t="s">
        <v>42</v>
      </c>
      <c r="L5" t="s">
        <v>43</v>
      </c>
      <c r="M5" t="s">
        <v>29</v>
      </c>
      <c r="N5" t="s">
        <v>30</v>
      </c>
      <c r="P5">
        <v>2</v>
      </c>
      <c r="Q5" t="s">
        <v>31</v>
      </c>
      <c r="R5">
        <v>2</v>
      </c>
      <c r="S5" t="s">
        <v>31</v>
      </c>
      <c r="T5">
        <v>0</v>
      </c>
      <c r="U5" t="s">
        <v>31</v>
      </c>
    </row>
    <row r="6" spans="1:21" x14ac:dyDescent="0.45">
      <c r="A6">
        <v>5</v>
      </c>
      <c r="B6" t="s">
        <v>21</v>
      </c>
      <c r="C6" s="2">
        <v>45673</v>
      </c>
      <c r="D6" t="s">
        <v>44</v>
      </c>
      <c r="E6" t="s">
        <v>45</v>
      </c>
      <c r="F6">
        <v>8734</v>
      </c>
      <c r="G6">
        <v>41176</v>
      </c>
      <c r="H6" t="s">
        <v>24</v>
      </c>
      <c r="I6" t="s">
        <v>25</v>
      </c>
      <c r="J6" t="s">
        <v>26</v>
      </c>
      <c r="K6" t="s">
        <v>46</v>
      </c>
      <c r="L6" t="s">
        <v>47</v>
      </c>
      <c r="M6" t="s">
        <v>29</v>
      </c>
      <c r="N6" t="s">
        <v>30</v>
      </c>
      <c r="P6">
        <v>2</v>
      </c>
      <c r="Q6" t="s">
        <v>31</v>
      </c>
      <c r="R6">
        <v>2</v>
      </c>
      <c r="S6" t="s">
        <v>31</v>
      </c>
      <c r="T6">
        <v>0</v>
      </c>
      <c r="U6" t="s">
        <v>31</v>
      </c>
    </row>
    <row r="7" spans="1:21" x14ac:dyDescent="0.45">
      <c r="A7">
        <v>6</v>
      </c>
      <c r="B7" t="s">
        <v>21</v>
      </c>
      <c r="C7" s="2">
        <v>45676</v>
      </c>
      <c r="D7" t="s">
        <v>48</v>
      </c>
      <c r="E7" t="s">
        <v>49</v>
      </c>
      <c r="F7">
        <v>75660</v>
      </c>
      <c r="G7">
        <v>54338</v>
      </c>
      <c r="H7" t="s">
        <v>24</v>
      </c>
      <c r="I7" t="s">
        <v>25</v>
      </c>
      <c r="J7" t="s">
        <v>26</v>
      </c>
      <c r="K7" t="s">
        <v>50</v>
      </c>
      <c r="M7" t="s">
        <v>29</v>
      </c>
      <c r="N7" t="s">
        <v>30</v>
      </c>
      <c r="P7">
        <v>2</v>
      </c>
      <c r="Q7" t="s">
        <v>31</v>
      </c>
      <c r="R7">
        <v>2</v>
      </c>
      <c r="S7" t="s">
        <v>31</v>
      </c>
      <c r="T7">
        <v>0</v>
      </c>
      <c r="U7" t="s">
        <v>31</v>
      </c>
    </row>
    <row r="8" spans="1:21" x14ac:dyDescent="0.45">
      <c r="A8">
        <v>7</v>
      </c>
      <c r="B8" t="s">
        <v>21</v>
      </c>
      <c r="C8" s="2">
        <v>45679</v>
      </c>
      <c r="D8" t="s">
        <v>51</v>
      </c>
      <c r="E8" t="s">
        <v>52</v>
      </c>
      <c r="F8">
        <v>21172</v>
      </c>
      <c r="G8">
        <v>43404</v>
      </c>
      <c r="H8" t="s">
        <v>24</v>
      </c>
      <c r="I8" t="s">
        <v>25</v>
      </c>
      <c r="J8" t="s">
        <v>26</v>
      </c>
      <c r="K8" t="s">
        <v>53</v>
      </c>
      <c r="M8" t="s">
        <v>29</v>
      </c>
      <c r="N8" t="s">
        <v>30</v>
      </c>
      <c r="P8">
        <v>2</v>
      </c>
      <c r="Q8" t="s">
        <v>31</v>
      </c>
      <c r="R8">
        <v>2</v>
      </c>
      <c r="S8" t="s">
        <v>31</v>
      </c>
      <c r="T8">
        <v>0</v>
      </c>
      <c r="U8" t="s">
        <v>31</v>
      </c>
    </row>
    <row r="9" spans="1:21" x14ac:dyDescent="0.45">
      <c r="A9">
        <v>8</v>
      </c>
      <c r="B9" t="s">
        <v>54</v>
      </c>
      <c r="C9" s="2">
        <v>45682</v>
      </c>
      <c r="D9" t="s">
        <v>55</v>
      </c>
      <c r="E9" t="s">
        <v>56</v>
      </c>
      <c r="F9">
        <v>50911</v>
      </c>
      <c r="G9">
        <v>51585</v>
      </c>
      <c r="H9" t="s">
        <v>24</v>
      </c>
      <c r="I9" t="s">
        <v>25</v>
      </c>
      <c r="J9" t="s">
        <v>26</v>
      </c>
      <c r="K9" t="s">
        <v>57</v>
      </c>
      <c r="M9" t="s">
        <v>29</v>
      </c>
      <c r="N9" t="s">
        <v>30</v>
      </c>
      <c r="P9">
        <v>2</v>
      </c>
      <c r="Q9" t="s">
        <v>31</v>
      </c>
      <c r="R9">
        <v>2</v>
      </c>
      <c r="S9" t="s">
        <v>31</v>
      </c>
      <c r="T9">
        <v>0</v>
      </c>
      <c r="U9" t="s">
        <v>31</v>
      </c>
    </row>
    <row r="10" spans="1:21" x14ac:dyDescent="0.45">
      <c r="A10">
        <v>9</v>
      </c>
      <c r="B10" t="s">
        <v>54</v>
      </c>
      <c r="C10" s="2">
        <v>45685</v>
      </c>
      <c r="D10" t="s">
        <v>58</v>
      </c>
      <c r="E10" t="s">
        <v>59</v>
      </c>
      <c r="F10">
        <v>39497</v>
      </c>
      <c r="G10">
        <v>22320</v>
      </c>
      <c r="H10" t="s">
        <v>24</v>
      </c>
      <c r="I10" t="s">
        <v>25</v>
      </c>
      <c r="J10" t="s">
        <v>26</v>
      </c>
      <c r="K10" t="s">
        <v>60</v>
      </c>
      <c r="M10" t="s">
        <v>29</v>
      </c>
      <c r="N10" t="s">
        <v>30</v>
      </c>
      <c r="P10">
        <v>2</v>
      </c>
      <c r="Q10" t="s">
        <v>31</v>
      </c>
      <c r="R10">
        <v>2</v>
      </c>
      <c r="S10" t="s">
        <v>31</v>
      </c>
      <c r="T10">
        <v>0</v>
      </c>
      <c r="U10" t="s">
        <v>31</v>
      </c>
    </row>
    <row r="11" spans="1:21" x14ac:dyDescent="0.45">
      <c r="A11">
        <v>10</v>
      </c>
      <c r="B11" t="s">
        <v>54</v>
      </c>
      <c r="C11" s="2">
        <v>45688</v>
      </c>
      <c r="D11" t="s">
        <v>61</v>
      </c>
      <c r="E11" t="s">
        <v>62</v>
      </c>
      <c r="F11">
        <v>79174</v>
      </c>
      <c r="G11">
        <v>52377</v>
      </c>
      <c r="H11" t="s">
        <v>24</v>
      </c>
      <c r="I11" t="s">
        <v>25</v>
      </c>
      <c r="J11" t="s">
        <v>26</v>
      </c>
      <c r="K11" t="s">
        <v>63</v>
      </c>
      <c r="L11" t="s">
        <v>64</v>
      </c>
      <c r="M11" t="s">
        <v>29</v>
      </c>
      <c r="N11" t="s">
        <v>30</v>
      </c>
      <c r="P11">
        <v>2</v>
      </c>
      <c r="Q11" t="s">
        <v>31</v>
      </c>
      <c r="R11">
        <v>2</v>
      </c>
      <c r="S11" t="s">
        <v>31</v>
      </c>
      <c r="T11">
        <v>0</v>
      </c>
      <c r="U11" t="s">
        <v>31</v>
      </c>
    </row>
    <row r="12" spans="1:21" x14ac:dyDescent="0.45">
      <c r="A12">
        <v>11</v>
      </c>
      <c r="B12" t="s">
        <v>65</v>
      </c>
      <c r="C12" s="2">
        <v>45691</v>
      </c>
      <c r="D12" t="s">
        <v>66</v>
      </c>
      <c r="E12" t="s">
        <v>67</v>
      </c>
      <c r="F12">
        <v>29724</v>
      </c>
      <c r="G12">
        <v>16300</v>
      </c>
      <c r="H12" t="s">
        <v>24</v>
      </c>
      <c r="I12" t="s">
        <v>25</v>
      </c>
      <c r="J12" t="s">
        <v>26</v>
      </c>
      <c r="K12" t="s">
        <v>68</v>
      </c>
      <c r="L12" t="s">
        <v>69</v>
      </c>
      <c r="M12" t="s">
        <v>29</v>
      </c>
      <c r="N12" t="s">
        <v>70</v>
      </c>
      <c r="P12">
        <v>2</v>
      </c>
      <c r="Q12" t="s">
        <v>31</v>
      </c>
      <c r="R12">
        <v>2</v>
      </c>
      <c r="S12" t="s">
        <v>31</v>
      </c>
      <c r="T12">
        <v>0</v>
      </c>
      <c r="U12" t="s">
        <v>31</v>
      </c>
    </row>
    <row r="13" spans="1:21" x14ac:dyDescent="0.45">
      <c r="A13">
        <v>12</v>
      </c>
      <c r="B13" t="s">
        <v>65</v>
      </c>
      <c r="C13" s="2">
        <v>45694</v>
      </c>
      <c r="D13" t="s">
        <v>71</v>
      </c>
      <c r="E13" t="s">
        <v>72</v>
      </c>
      <c r="F13">
        <v>10003</v>
      </c>
      <c r="G13">
        <v>60998</v>
      </c>
      <c r="H13" t="s">
        <v>24</v>
      </c>
      <c r="I13" t="s">
        <v>25</v>
      </c>
      <c r="J13" t="s">
        <v>26</v>
      </c>
      <c r="K13" t="s">
        <v>73</v>
      </c>
      <c r="L13" t="s">
        <v>74</v>
      </c>
      <c r="M13" t="s">
        <v>29</v>
      </c>
      <c r="N13" t="s">
        <v>70</v>
      </c>
      <c r="P13">
        <v>2</v>
      </c>
      <c r="Q13" t="s">
        <v>31</v>
      </c>
      <c r="R13">
        <v>2</v>
      </c>
      <c r="S13" t="s">
        <v>31</v>
      </c>
      <c r="T13">
        <v>0</v>
      </c>
      <c r="U13" t="s">
        <v>31</v>
      </c>
    </row>
    <row r="14" spans="1:21" x14ac:dyDescent="0.45">
      <c r="A14">
        <v>13</v>
      </c>
      <c r="B14" t="s">
        <v>65</v>
      </c>
      <c r="C14" s="2">
        <v>45697</v>
      </c>
      <c r="D14" t="s">
        <v>75</v>
      </c>
      <c r="E14" t="s">
        <v>76</v>
      </c>
      <c r="F14">
        <v>44009</v>
      </c>
      <c r="G14">
        <v>64659</v>
      </c>
      <c r="H14" t="s">
        <v>24</v>
      </c>
      <c r="I14" t="s">
        <v>25</v>
      </c>
      <c r="J14" t="s">
        <v>26</v>
      </c>
      <c r="K14" t="s">
        <v>77</v>
      </c>
      <c r="L14" t="s">
        <v>78</v>
      </c>
      <c r="M14" t="s">
        <v>29</v>
      </c>
      <c r="N14" t="s">
        <v>70</v>
      </c>
      <c r="P14">
        <v>2</v>
      </c>
      <c r="Q14" t="s">
        <v>31</v>
      </c>
      <c r="R14">
        <v>2</v>
      </c>
      <c r="S14" t="s">
        <v>31</v>
      </c>
      <c r="T14">
        <v>0</v>
      </c>
      <c r="U14" t="s">
        <v>31</v>
      </c>
    </row>
    <row r="15" spans="1:21" x14ac:dyDescent="0.45">
      <c r="A15">
        <v>14</v>
      </c>
      <c r="B15" t="s">
        <v>65</v>
      </c>
      <c r="C15" s="2">
        <v>45700</v>
      </c>
      <c r="D15" t="s">
        <v>79</v>
      </c>
      <c r="E15" t="s">
        <v>80</v>
      </c>
      <c r="F15">
        <v>17499</v>
      </c>
      <c r="G15">
        <v>17839</v>
      </c>
      <c r="H15" t="s">
        <v>24</v>
      </c>
      <c r="I15" t="s">
        <v>25</v>
      </c>
      <c r="J15" t="s">
        <v>26</v>
      </c>
      <c r="K15" t="s">
        <v>81</v>
      </c>
      <c r="L15" t="s">
        <v>82</v>
      </c>
      <c r="M15" t="s">
        <v>29</v>
      </c>
      <c r="N15" t="s">
        <v>70</v>
      </c>
      <c r="P15">
        <v>2</v>
      </c>
      <c r="Q15" t="s">
        <v>31</v>
      </c>
      <c r="R15">
        <v>2</v>
      </c>
      <c r="S15" t="s">
        <v>31</v>
      </c>
      <c r="T15">
        <v>0</v>
      </c>
      <c r="U15" t="s">
        <v>31</v>
      </c>
    </row>
    <row r="16" spans="1:21" x14ac:dyDescent="0.45">
      <c r="A16">
        <v>15</v>
      </c>
      <c r="B16" t="s">
        <v>65</v>
      </c>
      <c r="C16" s="2">
        <v>45703</v>
      </c>
      <c r="D16" t="s">
        <v>83</v>
      </c>
      <c r="E16" t="s">
        <v>84</v>
      </c>
      <c r="F16">
        <v>63845</v>
      </c>
      <c r="G16">
        <v>22976</v>
      </c>
      <c r="H16" t="s">
        <v>24</v>
      </c>
      <c r="I16" t="s">
        <v>25</v>
      </c>
      <c r="J16" t="s">
        <v>26</v>
      </c>
      <c r="K16" t="s">
        <v>85</v>
      </c>
      <c r="L16" t="s">
        <v>86</v>
      </c>
      <c r="M16" t="s">
        <v>29</v>
      </c>
      <c r="N16" t="s">
        <v>70</v>
      </c>
      <c r="P16">
        <v>2</v>
      </c>
      <c r="Q16" t="s">
        <v>31</v>
      </c>
      <c r="R16">
        <v>2</v>
      </c>
      <c r="S16" t="s">
        <v>31</v>
      </c>
      <c r="T16">
        <v>0</v>
      </c>
      <c r="U16" t="s">
        <v>31</v>
      </c>
    </row>
    <row r="17" spans="1:21" x14ac:dyDescent="0.45">
      <c r="A17">
        <v>16</v>
      </c>
      <c r="B17" t="s">
        <v>65</v>
      </c>
      <c r="C17" s="2">
        <v>45706</v>
      </c>
      <c r="D17" t="s">
        <v>87</v>
      </c>
      <c r="E17" t="s">
        <v>88</v>
      </c>
      <c r="F17">
        <v>27595</v>
      </c>
      <c r="G17">
        <v>33889</v>
      </c>
      <c r="H17" t="s">
        <v>24</v>
      </c>
      <c r="I17" t="s">
        <v>25</v>
      </c>
      <c r="J17" t="s">
        <v>26</v>
      </c>
      <c r="K17" t="s">
        <v>89</v>
      </c>
      <c r="L17" t="s">
        <v>90</v>
      </c>
      <c r="M17" t="s">
        <v>29</v>
      </c>
      <c r="N17" t="s">
        <v>70</v>
      </c>
      <c r="P17">
        <v>2</v>
      </c>
      <c r="Q17" t="s">
        <v>31</v>
      </c>
      <c r="R17">
        <v>2</v>
      </c>
      <c r="S17" t="s">
        <v>31</v>
      </c>
      <c r="T17">
        <v>0</v>
      </c>
      <c r="U17" t="s">
        <v>31</v>
      </c>
    </row>
    <row r="18" spans="1:21" x14ac:dyDescent="0.45">
      <c r="A18">
        <v>17</v>
      </c>
      <c r="B18" t="s">
        <v>65</v>
      </c>
      <c r="C18" s="2">
        <v>45709</v>
      </c>
      <c r="D18" t="s">
        <v>91</v>
      </c>
      <c r="E18" t="s">
        <v>92</v>
      </c>
      <c r="F18">
        <v>6438</v>
      </c>
      <c r="G18">
        <v>65465</v>
      </c>
      <c r="H18" t="s">
        <v>24</v>
      </c>
      <c r="I18" t="s">
        <v>25</v>
      </c>
      <c r="J18" t="s">
        <v>26</v>
      </c>
      <c r="K18" t="s">
        <v>93</v>
      </c>
      <c r="L18" t="s">
        <v>94</v>
      </c>
      <c r="M18" t="s">
        <v>29</v>
      </c>
      <c r="N18" t="s">
        <v>70</v>
      </c>
      <c r="P18">
        <v>2</v>
      </c>
      <c r="Q18" t="s">
        <v>31</v>
      </c>
      <c r="R18">
        <v>2</v>
      </c>
      <c r="S18" t="s">
        <v>31</v>
      </c>
      <c r="T18">
        <v>0</v>
      </c>
      <c r="U18" t="s">
        <v>31</v>
      </c>
    </row>
    <row r="19" spans="1:21" x14ac:dyDescent="0.45">
      <c r="A19">
        <v>18</v>
      </c>
      <c r="B19" t="s">
        <v>65</v>
      </c>
      <c r="C19" s="2">
        <v>45712</v>
      </c>
      <c r="D19" t="s">
        <v>95</v>
      </c>
      <c r="E19" t="s">
        <v>96</v>
      </c>
      <c r="F19">
        <v>17329</v>
      </c>
      <c r="G19">
        <v>34206</v>
      </c>
      <c r="H19" t="s">
        <v>24</v>
      </c>
      <c r="I19" t="s">
        <v>25</v>
      </c>
      <c r="J19" t="s">
        <v>26</v>
      </c>
      <c r="K19" t="s">
        <v>97</v>
      </c>
      <c r="L19" t="s">
        <v>98</v>
      </c>
      <c r="M19" t="s">
        <v>29</v>
      </c>
      <c r="N19" t="s">
        <v>70</v>
      </c>
      <c r="P19">
        <v>2</v>
      </c>
      <c r="Q19" t="s">
        <v>31</v>
      </c>
      <c r="R19">
        <v>2</v>
      </c>
      <c r="S19" t="s">
        <v>31</v>
      </c>
      <c r="T19">
        <v>0</v>
      </c>
      <c r="U19" t="s">
        <v>31</v>
      </c>
    </row>
    <row r="20" spans="1:21" x14ac:dyDescent="0.45">
      <c r="A20">
        <v>19</v>
      </c>
      <c r="B20" t="s">
        <v>65</v>
      </c>
      <c r="C20" s="2">
        <v>45715</v>
      </c>
      <c r="D20" t="s">
        <v>99</v>
      </c>
      <c r="E20" t="s">
        <v>100</v>
      </c>
      <c r="F20">
        <v>57199</v>
      </c>
      <c r="G20">
        <v>19562</v>
      </c>
      <c r="H20" t="s">
        <v>24</v>
      </c>
      <c r="I20" t="s">
        <v>25</v>
      </c>
      <c r="J20" t="s">
        <v>26</v>
      </c>
      <c r="K20" t="s">
        <v>101</v>
      </c>
      <c r="L20" t="s">
        <v>102</v>
      </c>
      <c r="M20" t="s">
        <v>29</v>
      </c>
      <c r="N20" t="s">
        <v>70</v>
      </c>
      <c r="P20">
        <v>2</v>
      </c>
      <c r="Q20" t="s">
        <v>31</v>
      </c>
      <c r="R20">
        <v>2</v>
      </c>
      <c r="S20" t="s">
        <v>31</v>
      </c>
      <c r="T20">
        <v>0</v>
      </c>
      <c r="U20" t="s">
        <v>31</v>
      </c>
    </row>
    <row r="21" spans="1:21" x14ac:dyDescent="0.45">
      <c r="A21">
        <v>20</v>
      </c>
      <c r="B21" t="s">
        <v>65</v>
      </c>
      <c r="C21" s="2">
        <v>45718</v>
      </c>
      <c r="D21" t="s">
        <v>103</v>
      </c>
      <c r="E21" t="s">
        <v>104</v>
      </c>
      <c r="F21">
        <v>46470</v>
      </c>
      <c r="G21">
        <v>75818</v>
      </c>
      <c r="H21" t="s">
        <v>24</v>
      </c>
      <c r="I21" t="s">
        <v>25</v>
      </c>
      <c r="J21" t="s">
        <v>26</v>
      </c>
      <c r="K21" t="s">
        <v>105</v>
      </c>
      <c r="L21" t="s">
        <v>106</v>
      </c>
      <c r="M21" t="s">
        <v>29</v>
      </c>
      <c r="N21" t="s">
        <v>70</v>
      </c>
      <c r="P21">
        <v>2</v>
      </c>
      <c r="Q21" t="s">
        <v>31</v>
      </c>
      <c r="R21">
        <v>2</v>
      </c>
      <c r="S21" t="s">
        <v>31</v>
      </c>
      <c r="T21">
        <v>0</v>
      </c>
      <c r="U21" t="s">
        <v>31</v>
      </c>
    </row>
    <row r="22" spans="1:21" x14ac:dyDescent="0.45">
      <c r="A22">
        <v>21</v>
      </c>
      <c r="B22" t="s">
        <v>65</v>
      </c>
      <c r="C22" s="2">
        <v>45721</v>
      </c>
      <c r="D22" t="s">
        <v>107</v>
      </c>
      <c r="E22" t="s">
        <v>108</v>
      </c>
      <c r="F22">
        <v>53388</v>
      </c>
      <c r="G22">
        <v>38252</v>
      </c>
      <c r="H22" t="s">
        <v>24</v>
      </c>
      <c r="I22" t="s">
        <v>25</v>
      </c>
      <c r="J22" t="s">
        <v>26</v>
      </c>
      <c r="K22" t="s">
        <v>109</v>
      </c>
      <c r="L22" t="s">
        <v>110</v>
      </c>
      <c r="M22" t="s">
        <v>29</v>
      </c>
      <c r="N22" t="s">
        <v>70</v>
      </c>
      <c r="O22" t="s">
        <v>111</v>
      </c>
      <c r="P22">
        <v>2</v>
      </c>
      <c r="Q22" t="s">
        <v>31</v>
      </c>
      <c r="R22">
        <v>2</v>
      </c>
      <c r="S22" t="s">
        <v>31</v>
      </c>
      <c r="T22">
        <v>0</v>
      </c>
      <c r="U22" t="s">
        <v>31</v>
      </c>
    </row>
    <row r="23" spans="1:21" x14ac:dyDescent="0.45">
      <c r="A23">
        <v>22</v>
      </c>
      <c r="B23" t="s">
        <v>65</v>
      </c>
      <c r="C23" s="2">
        <v>45724</v>
      </c>
      <c r="D23" t="s">
        <v>112</v>
      </c>
      <c r="E23" t="s">
        <v>113</v>
      </c>
      <c r="F23">
        <v>66390</v>
      </c>
      <c r="G23">
        <v>19764</v>
      </c>
      <c r="H23" t="s">
        <v>24</v>
      </c>
      <c r="I23" t="s">
        <v>25</v>
      </c>
      <c r="J23" t="s">
        <v>26</v>
      </c>
      <c r="K23" t="s">
        <v>114</v>
      </c>
      <c r="L23" t="s">
        <v>115</v>
      </c>
      <c r="M23" t="s">
        <v>29</v>
      </c>
      <c r="N23" t="s">
        <v>70</v>
      </c>
      <c r="O23" t="s">
        <v>111</v>
      </c>
      <c r="P23">
        <v>2</v>
      </c>
      <c r="Q23" t="s">
        <v>31</v>
      </c>
      <c r="R23">
        <v>2</v>
      </c>
      <c r="S23" t="s">
        <v>31</v>
      </c>
      <c r="T23">
        <v>0</v>
      </c>
      <c r="U23" t="s">
        <v>31</v>
      </c>
    </row>
    <row r="24" spans="1:21" x14ac:dyDescent="0.45">
      <c r="A24">
        <v>23</v>
      </c>
      <c r="B24" t="s">
        <v>65</v>
      </c>
      <c r="C24" s="2">
        <v>45727</v>
      </c>
      <c r="D24" t="s">
        <v>116</v>
      </c>
      <c r="E24" t="s">
        <v>117</v>
      </c>
      <c r="F24">
        <v>77031</v>
      </c>
      <c r="G24">
        <v>44076</v>
      </c>
      <c r="H24" t="s">
        <v>24</v>
      </c>
      <c r="I24" t="s">
        <v>25</v>
      </c>
      <c r="J24" t="s">
        <v>26</v>
      </c>
      <c r="K24" t="s">
        <v>118</v>
      </c>
      <c r="L24" t="s">
        <v>119</v>
      </c>
      <c r="M24" t="s">
        <v>29</v>
      </c>
      <c r="N24" t="s">
        <v>70</v>
      </c>
      <c r="O24" t="s">
        <v>111</v>
      </c>
      <c r="P24">
        <v>2</v>
      </c>
      <c r="Q24" t="s">
        <v>31</v>
      </c>
      <c r="R24">
        <v>2</v>
      </c>
      <c r="S24" t="s">
        <v>31</v>
      </c>
      <c r="T24">
        <v>0</v>
      </c>
      <c r="U24" t="s">
        <v>31</v>
      </c>
    </row>
    <row r="25" spans="1:21" x14ac:dyDescent="0.45">
      <c r="A25">
        <v>24</v>
      </c>
      <c r="B25" t="s">
        <v>65</v>
      </c>
      <c r="C25" s="2">
        <v>45730</v>
      </c>
      <c r="D25" t="s">
        <v>120</v>
      </c>
      <c r="E25" t="s">
        <v>121</v>
      </c>
      <c r="F25">
        <v>23182</v>
      </c>
      <c r="G25">
        <v>42982</v>
      </c>
      <c r="H25" t="s">
        <v>24</v>
      </c>
      <c r="I25" t="s">
        <v>25</v>
      </c>
      <c r="J25" t="s">
        <v>26</v>
      </c>
      <c r="K25" t="s">
        <v>122</v>
      </c>
      <c r="L25" t="s">
        <v>123</v>
      </c>
      <c r="M25" t="s">
        <v>29</v>
      </c>
      <c r="N25" t="s">
        <v>70</v>
      </c>
      <c r="O25" t="s">
        <v>111</v>
      </c>
      <c r="P25">
        <v>2</v>
      </c>
      <c r="Q25" t="s">
        <v>31</v>
      </c>
      <c r="R25">
        <v>2</v>
      </c>
      <c r="S25" t="s">
        <v>31</v>
      </c>
      <c r="T25">
        <v>0</v>
      </c>
      <c r="U25" t="s">
        <v>31</v>
      </c>
    </row>
    <row r="26" spans="1:21" x14ac:dyDescent="0.45">
      <c r="A26">
        <v>25</v>
      </c>
      <c r="B26" t="s">
        <v>65</v>
      </c>
      <c r="C26" s="2">
        <v>45733</v>
      </c>
      <c r="D26" t="s">
        <v>124</v>
      </c>
      <c r="E26" t="s">
        <v>125</v>
      </c>
      <c r="F26">
        <v>22349</v>
      </c>
      <c r="G26">
        <v>29688</v>
      </c>
      <c r="H26" t="s">
        <v>24</v>
      </c>
      <c r="I26" t="s">
        <v>25</v>
      </c>
      <c r="J26" t="s">
        <v>26</v>
      </c>
      <c r="K26" t="s">
        <v>126</v>
      </c>
      <c r="L26" t="s">
        <v>127</v>
      </c>
      <c r="M26" t="s">
        <v>29</v>
      </c>
      <c r="N26" t="s">
        <v>70</v>
      </c>
      <c r="O26" t="s">
        <v>111</v>
      </c>
      <c r="P26">
        <v>2</v>
      </c>
      <c r="Q26" t="s">
        <v>31</v>
      </c>
      <c r="R26">
        <v>2</v>
      </c>
      <c r="S26" t="s">
        <v>31</v>
      </c>
      <c r="T26">
        <v>0</v>
      </c>
      <c r="U26" t="s">
        <v>31</v>
      </c>
    </row>
    <row r="27" spans="1:21" x14ac:dyDescent="0.45">
      <c r="A27">
        <v>26</v>
      </c>
      <c r="B27" t="s">
        <v>65</v>
      </c>
      <c r="C27" s="2">
        <v>45736</v>
      </c>
      <c r="D27" t="s">
        <v>128</v>
      </c>
      <c r="E27" t="s">
        <v>129</v>
      </c>
      <c r="F27">
        <v>9282</v>
      </c>
      <c r="G27">
        <v>70087</v>
      </c>
      <c r="H27" t="s">
        <v>24</v>
      </c>
      <c r="I27" t="s">
        <v>130</v>
      </c>
      <c r="J27" t="s">
        <v>26</v>
      </c>
      <c r="K27" t="s">
        <v>131</v>
      </c>
      <c r="L27" t="s">
        <v>132</v>
      </c>
      <c r="M27" t="s">
        <v>29</v>
      </c>
      <c r="N27" t="s">
        <v>70</v>
      </c>
      <c r="O27" t="s">
        <v>111</v>
      </c>
      <c r="P27">
        <v>2</v>
      </c>
      <c r="Q27" t="s">
        <v>31</v>
      </c>
      <c r="R27">
        <v>2</v>
      </c>
      <c r="S27" t="s">
        <v>31</v>
      </c>
      <c r="T27">
        <v>0</v>
      </c>
      <c r="U27" t="s">
        <v>31</v>
      </c>
    </row>
    <row r="28" spans="1:21" x14ac:dyDescent="0.45">
      <c r="A28">
        <v>27</v>
      </c>
      <c r="B28" t="s">
        <v>65</v>
      </c>
      <c r="C28" s="2">
        <v>45739</v>
      </c>
      <c r="D28" t="s">
        <v>133</v>
      </c>
      <c r="E28" t="s">
        <v>134</v>
      </c>
      <c r="F28">
        <v>24303</v>
      </c>
      <c r="G28">
        <v>29700</v>
      </c>
      <c r="H28" t="s">
        <v>24</v>
      </c>
      <c r="I28" t="s">
        <v>130</v>
      </c>
      <c r="J28" t="s">
        <v>26</v>
      </c>
      <c r="K28" t="s">
        <v>135</v>
      </c>
      <c r="L28" t="s">
        <v>136</v>
      </c>
      <c r="M28" t="s">
        <v>29</v>
      </c>
      <c r="N28" t="s">
        <v>70</v>
      </c>
      <c r="O28" t="s">
        <v>111</v>
      </c>
      <c r="P28">
        <v>2</v>
      </c>
      <c r="Q28" t="s">
        <v>31</v>
      </c>
      <c r="R28">
        <v>2</v>
      </c>
      <c r="S28" t="s">
        <v>31</v>
      </c>
      <c r="T28">
        <v>0</v>
      </c>
      <c r="U28" t="s">
        <v>31</v>
      </c>
    </row>
    <row r="29" spans="1:21" x14ac:dyDescent="0.45">
      <c r="A29">
        <v>28</v>
      </c>
      <c r="B29" t="s">
        <v>65</v>
      </c>
      <c r="C29" s="2">
        <v>45742</v>
      </c>
      <c r="D29" t="s">
        <v>137</v>
      </c>
      <c r="E29" t="s">
        <v>138</v>
      </c>
      <c r="F29">
        <v>27816</v>
      </c>
      <c r="G29">
        <v>7230</v>
      </c>
      <c r="H29" t="s">
        <v>24</v>
      </c>
      <c r="I29" t="s">
        <v>130</v>
      </c>
      <c r="J29" t="s">
        <v>26</v>
      </c>
      <c r="K29" t="s">
        <v>139</v>
      </c>
      <c r="L29" t="s">
        <v>140</v>
      </c>
      <c r="M29" t="s">
        <v>29</v>
      </c>
      <c r="N29" t="s">
        <v>70</v>
      </c>
      <c r="O29" t="s">
        <v>111</v>
      </c>
      <c r="P29">
        <v>2</v>
      </c>
      <c r="Q29" t="s">
        <v>31</v>
      </c>
      <c r="R29">
        <v>2</v>
      </c>
      <c r="S29" t="s">
        <v>31</v>
      </c>
      <c r="T29">
        <v>0</v>
      </c>
      <c r="U29" t="s">
        <v>31</v>
      </c>
    </row>
    <row r="30" spans="1:21" x14ac:dyDescent="0.45">
      <c r="A30">
        <v>29</v>
      </c>
      <c r="B30" t="s">
        <v>65</v>
      </c>
      <c r="C30" s="2">
        <v>45745</v>
      </c>
      <c r="D30" t="s">
        <v>141</v>
      </c>
      <c r="E30" t="s">
        <v>142</v>
      </c>
      <c r="F30">
        <v>71611</v>
      </c>
      <c r="G30">
        <v>65418</v>
      </c>
      <c r="H30" t="s">
        <v>24</v>
      </c>
      <c r="I30" t="s">
        <v>130</v>
      </c>
      <c r="J30" t="s">
        <v>26</v>
      </c>
      <c r="K30" t="s">
        <v>143</v>
      </c>
      <c r="L30" t="s">
        <v>144</v>
      </c>
      <c r="M30" t="s">
        <v>29</v>
      </c>
      <c r="N30" t="s">
        <v>70</v>
      </c>
      <c r="O30" t="s">
        <v>111</v>
      </c>
      <c r="P30">
        <v>2</v>
      </c>
      <c r="Q30" t="s">
        <v>31</v>
      </c>
      <c r="R30">
        <v>2</v>
      </c>
      <c r="S30" t="s">
        <v>31</v>
      </c>
      <c r="T30">
        <v>0</v>
      </c>
      <c r="U30" t="s">
        <v>31</v>
      </c>
    </row>
    <row r="31" spans="1:21" x14ac:dyDescent="0.45">
      <c r="A31">
        <v>30</v>
      </c>
      <c r="B31" t="s">
        <v>65</v>
      </c>
      <c r="C31" s="2">
        <v>45748</v>
      </c>
      <c r="D31" t="s">
        <v>145</v>
      </c>
      <c r="E31" t="s">
        <v>146</v>
      </c>
      <c r="F31">
        <v>51383</v>
      </c>
      <c r="G31">
        <v>44000</v>
      </c>
      <c r="H31" t="s">
        <v>24</v>
      </c>
      <c r="I31" t="s">
        <v>130</v>
      </c>
      <c r="J31" t="s">
        <v>26</v>
      </c>
      <c r="K31" t="s">
        <v>147</v>
      </c>
      <c r="L31" t="s">
        <v>148</v>
      </c>
      <c r="M31" t="s">
        <v>29</v>
      </c>
      <c r="N31" t="s">
        <v>70</v>
      </c>
      <c r="O31" t="s">
        <v>111</v>
      </c>
      <c r="P31">
        <v>2</v>
      </c>
      <c r="Q31" t="s">
        <v>31</v>
      </c>
      <c r="R31">
        <v>2</v>
      </c>
      <c r="S31" t="s">
        <v>31</v>
      </c>
      <c r="T31">
        <v>0</v>
      </c>
      <c r="U31" t="s">
        <v>31</v>
      </c>
    </row>
    <row r="32" spans="1:21" x14ac:dyDescent="0.45">
      <c r="A32">
        <v>31</v>
      </c>
      <c r="B32" t="s">
        <v>65</v>
      </c>
      <c r="C32" s="2">
        <v>45751</v>
      </c>
      <c r="D32" t="s">
        <v>149</v>
      </c>
      <c r="E32" t="s">
        <v>150</v>
      </c>
      <c r="F32">
        <v>52397</v>
      </c>
      <c r="G32">
        <v>37526</v>
      </c>
      <c r="H32" t="s">
        <v>151</v>
      </c>
      <c r="I32" t="s">
        <v>130</v>
      </c>
      <c r="J32" t="s">
        <v>26</v>
      </c>
      <c r="K32" t="s">
        <v>152</v>
      </c>
      <c r="L32" t="s">
        <v>153</v>
      </c>
      <c r="M32" t="s">
        <v>29</v>
      </c>
      <c r="N32" t="s">
        <v>70</v>
      </c>
      <c r="O32" t="s">
        <v>111</v>
      </c>
      <c r="P32">
        <v>2</v>
      </c>
      <c r="Q32" t="s">
        <v>31</v>
      </c>
      <c r="R32">
        <v>2</v>
      </c>
      <c r="S32" t="s">
        <v>31</v>
      </c>
      <c r="T32">
        <v>0</v>
      </c>
      <c r="U32" t="s">
        <v>31</v>
      </c>
    </row>
    <row r="33" spans="1:21" x14ac:dyDescent="0.45">
      <c r="A33">
        <v>32</v>
      </c>
      <c r="B33" t="s">
        <v>65</v>
      </c>
      <c r="C33" s="2">
        <v>45754</v>
      </c>
      <c r="D33" t="s">
        <v>154</v>
      </c>
      <c r="E33" t="s">
        <v>155</v>
      </c>
      <c r="F33">
        <v>37630</v>
      </c>
      <c r="G33">
        <v>5275</v>
      </c>
      <c r="H33" t="s">
        <v>151</v>
      </c>
      <c r="I33" t="s">
        <v>130</v>
      </c>
      <c r="J33" t="s">
        <v>26</v>
      </c>
      <c r="K33" t="s">
        <v>156</v>
      </c>
      <c r="L33" t="s">
        <v>157</v>
      </c>
      <c r="M33" t="s">
        <v>29</v>
      </c>
      <c r="N33" t="s">
        <v>70</v>
      </c>
      <c r="O33" t="s">
        <v>111</v>
      </c>
      <c r="P33">
        <v>2</v>
      </c>
      <c r="Q33" t="s">
        <v>31</v>
      </c>
      <c r="R33">
        <v>2</v>
      </c>
      <c r="S33" t="s">
        <v>31</v>
      </c>
      <c r="T33">
        <v>0</v>
      </c>
      <c r="U33" t="s">
        <v>31</v>
      </c>
    </row>
    <row r="34" spans="1:21" x14ac:dyDescent="0.45">
      <c r="A34">
        <v>33</v>
      </c>
      <c r="B34" t="s">
        <v>65</v>
      </c>
      <c r="C34" s="2">
        <v>45757</v>
      </c>
      <c r="D34" t="s">
        <v>158</v>
      </c>
      <c r="E34" t="s">
        <v>159</v>
      </c>
      <c r="F34">
        <v>12539</v>
      </c>
      <c r="G34">
        <v>3666</v>
      </c>
      <c r="H34" t="s">
        <v>151</v>
      </c>
      <c r="I34" t="s">
        <v>130</v>
      </c>
      <c r="J34" t="s">
        <v>26</v>
      </c>
      <c r="K34" t="s">
        <v>160</v>
      </c>
      <c r="L34" t="s">
        <v>161</v>
      </c>
      <c r="M34" t="s">
        <v>29</v>
      </c>
      <c r="N34" t="s">
        <v>70</v>
      </c>
      <c r="O34" t="s">
        <v>111</v>
      </c>
      <c r="P34">
        <v>2</v>
      </c>
      <c r="Q34" t="s">
        <v>31</v>
      </c>
      <c r="R34">
        <v>2</v>
      </c>
      <c r="S34" t="s">
        <v>31</v>
      </c>
      <c r="T34">
        <v>0</v>
      </c>
      <c r="U34" t="s">
        <v>31</v>
      </c>
    </row>
    <row r="35" spans="1:21" x14ac:dyDescent="0.45">
      <c r="A35">
        <v>34</v>
      </c>
      <c r="B35" t="s">
        <v>65</v>
      </c>
      <c r="C35" s="2">
        <v>45760</v>
      </c>
      <c r="D35" t="s">
        <v>162</v>
      </c>
      <c r="E35" t="s">
        <v>163</v>
      </c>
      <c r="F35">
        <v>39637</v>
      </c>
      <c r="G35">
        <v>17187</v>
      </c>
      <c r="H35" t="s">
        <v>151</v>
      </c>
      <c r="I35" t="s">
        <v>130</v>
      </c>
      <c r="J35" t="s">
        <v>26</v>
      </c>
      <c r="K35" t="s">
        <v>164</v>
      </c>
      <c r="L35" t="s">
        <v>165</v>
      </c>
      <c r="M35" t="s">
        <v>29</v>
      </c>
      <c r="N35" t="s">
        <v>70</v>
      </c>
      <c r="O35" t="s">
        <v>111</v>
      </c>
      <c r="P35">
        <v>2</v>
      </c>
      <c r="Q35" t="s">
        <v>31</v>
      </c>
      <c r="R35">
        <v>2</v>
      </c>
      <c r="S35" t="s">
        <v>31</v>
      </c>
      <c r="T35">
        <v>0</v>
      </c>
      <c r="U35" t="s">
        <v>31</v>
      </c>
    </row>
    <row r="36" spans="1:21" x14ac:dyDescent="0.45">
      <c r="A36">
        <v>35</v>
      </c>
      <c r="B36" t="s">
        <v>65</v>
      </c>
      <c r="C36" s="2">
        <v>45763</v>
      </c>
      <c r="D36" t="s">
        <v>166</v>
      </c>
      <c r="E36" t="s">
        <v>167</v>
      </c>
      <c r="F36">
        <v>44947</v>
      </c>
      <c r="G36">
        <v>61799</v>
      </c>
      <c r="H36" t="s">
        <v>151</v>
      </c>
      <c r="I36" t="s">
        <v>130</v>
      </c>
      <c r="J36" t="s">
        <v>26</v>
      </c>
      <c r="K36" t="s">
        <v>168</v>
      </c>
      <c r="L36" t="s">
        <v>169</v>
      </c>
      <c r="M36" t="s">
        <v>29</v>
      </c>
      <c r="N36" t="s">
        <v>70</v>
      </c>
      <c r="O36" t="s">
        <v>111</v>
      </c>
      <c r="P36">
        <v>2</v>
      </c>
      <c r="Q36" t="s">
        <v>31</v>
      </c>
      <c r="R36">
        <v>2</v>
      </c>
      <c r="S36" t="s">
        <v>31</v>
      </c>
      <c r="T36">
        <v>0</v>
      </c>
      <c r="U36" t="s">
        <v>31</v>
      </c>
    </row>
    <row r="37" spans="1:21" x14ac:dyDescent="0.45">
      <c r="A37">
        <v>36</v>
      </c>
      <c r="B37" t="s">
        <v>65</v>
      </c>
      <c r="C37" s="2">
        <v>45766</v>
      </c>
      <c r="D37" t="s">
        <v>170</v>
      </c>
      <c r="E37" t="s">
        <v>171</v>
      </c>
      <c r="F37">
        <v>9675</v>
      </c>
      <c r="G37">
        <v>34349</v>
      </c>
      <c r="H37" t="s">
        <v>151</v>
      </c>
      <c r="I37" t="s">
        <v>130</v>
      </c>
      <c r="J37" t="s">
        <v>26</v>
      </c>
      <c r="K37" t="s">
        <v>172</v>
      </c>
      <c r="L37" t="s">
        <v>173</v>
      </c>
      <c r="M37" t="s">
        <v>29</v>
      </c>
      <c r="N37" t="s">
        <v>70</v>
      </c>
      <c r="O37" t="s">
        <v>111</v>
      </c>
      <c r="P37">
        <v>2</v>
      </c>
      <c r="Q37" t="s">
        <v>31</v>
      </c>
      <c r="R37">
        <v>2</v>
      </c>
      <c r="S37" t="s">
        <v>31</v>
      </c>
      <c r="T37">
        <v>0</v>
      </c>
      <c r="U37" t="s">
        <v>31</v>
      </c>
    </row>
    <row r="38" spans="1:21" x14ac:dyDescent="0.45">
      <c r="A38">
        <v>37</v>
      </c>
      <c r="B38" t="s">
        <v>65</v>
      </c>
      <c r="C38" s="2">
        <v>45769</v>
      </c>
      <c r="D38" t="s">
        <v>174</v>
      </c>
      <c r="E38" t="s">
        <v>175</v>
      </c>
      <c r="F38">
        <v>32950</v>
      </c>
      <c r="G38">
        <v>53482</v>
      </c>
      <c r="H38" t="s">
        <v>151</v>
      </c>
      <c r="I38" t="s">
        <v>130</v>
      </c>
      <c r="J38" t="s">
        <v>26</v>
      </c>
      <c r="K38" t="s">
        <v>176</v>
      </c>
      <c r="L38" t="s">
        <v>177</v>
      </c>
      <c r="M38" t="s">
        <v>29</v>
      </c>
      <c r="N38" t="s">
        <v>70</v>
      </c>
      <c r="O38" t="s">
        <v>111</v>
      </c>
      <c r="P38">
        <v>2</v>
      </c>
      <c r="Q38" t="s">
        <v>31</v>
      </c>
      <c r="R38">
        <v>2</v>
      </c>
      <c r="S38" t="s">
        <v>31</v>
      </c>
      <c r="T38">
        <v>0</v>
      </c>
      <c r="U38" t="s">
        <v>31</v>
      </c>
    </row>
    <row r="39" spans="1:21" x14ac:dyDescent="0.45">
      <c r="A39">
        <v>38</v>
      </c>
      <c r="B39" t="s">
        <v>65</v>
      </c>
      <c r="C39" s="2">
        <v>45772</v>
      </c>
      <c r="D39" t="s">
        <v>178</v>
      </c>
      <c r="E39" t="s">
        <v>179</v>
      </c>
      <c r="F39">
        <v>60626</v>
      </c>
      <c r="G39">
        <v>32562</v>
      </c>
      <c r="H39" t="s">
        <v>151</v>
      </c>
      <c r="I39" t="s">
        <v>130</v>
      </c>
      <c r="J39" t="s">
        <v>26</v>
      </c>
      <c r="K39" t="s">
        <v>180</v>
      </c>
      <c r="L39" t="s">
        <v>181</v>
      </c>
      <c r="M39" t="s">
        <v>29</v>
      </c>
      <c r="N39" t="s">
        <v>70</v>
      </c>
      <c r="O39" t="s">
        <v>111</v>
      </c>
      <c r="P39">
        <v>2</v>
      </c>
      <c r="Q39" t="s">
        <v>31</v>
      </c>
      <c r="R39">
        <v>2</v>
      </c>
      <c r="S39" t="s">
        <v>31</v>
      </c>
      <c r="T39">
        <v>0</v>
      </c>
      <c r="U39" t="s">
        <v>31</v>
      </c>
    </row>
    <row r="40" spans="1:21" x14ac:dyDescent="0.45">
      <c r="A40">
        <v>39</v>
      </c>
      <c r="B40" t="s">
        <v>65</v>
      </c>
      <c r="C40" s="2">
        <v>45775</v>
      </c>
      <c r="D40" t="s">
        <v>182</v>
      </c>
      <c r="E40" t="s">
        <v>183</v>
      </c>
      <c r="F40">
        <v>8713</v>
      </c>
      <c r="G40">
        <v>78610</v>
      </c>
      <c r="H40" t="s">
        <v>151</v>
      </c>
      <c r="I40" t="s">
        <v>130</v>
      </c>
      <c r="J40" t="s">
        <v>26</v>
      </c>
      <c r="K40" t="s">
        <v>184</v>
      </c>
      <c r="L40" t="s">
        <v>185</v>
      </c>
      <c r="M40" t="s">
        <v>29</v>
      </c>
      <c r="N40" t="s">
        <v>70</v>
      </c>
      <c r="O40" t="s">
        <v>111</v>
      </c>
      <c r="P40">
        <v>2</v>
      </c>
      <c r="Q40" t="s">
        <v>31</v>
      </c>
      <c r="R40">
        <v>2</v>
      </c>
      <c r="S40" t="s">
        <v>31</v>
      </c>
      <c r="T40">
        <v>0</v>
      </c>
      <c r="U40" t="s">
        <v>31</v>
      </c>
    </row>
    <row r="41" spans="1:21" x14ac:dyDescent="0.45">
      <c r="A41">
        <v>40</v>
      </c>
      <c r="B41" t="s">
        <v>65</v>
      </c>
      <c r="C41" s="2">
        <v>45778</v>
      </c>
      <c r="D41" t="s">
        <v>186</v>
      </c>
      <c r="E41" t="s">
        <v>187</v>
      </c>
      <c r="F41">
        <v>76334</v>
      </c>
      <c r="G41">
        <v>66187</v>
      </c>
      <c r="H41" t="s">
        <v>151</v>
      </c>
      <c r="I41" t="s">
        <v>130</v>
      </c>
      <c r="J41" t="s">
        <v>26</v>
      </c>
      <c r="K41" t="s">
        <v>188</v>
      </c>
      <c r="L41" t="s">
        <v>189</v>
      </c>
      <c r="M41" t="s">
        <v>29</v>
      </c>
      <c r="N41" t="s">
        <v>70</v>
      </c>
      <c r="O41" t="s">
        <v>111</v>
      </c>
      <c r="P41">
        <v>2</v>
      </c>
      <c r="Q41" t="s">
        <v>31</v>
      </c>
      <c r="R41">
        <v>2</v>
      </c>
      <c r="S41" t="s">
        <v>31</v>
      </c>
      <c r="T41">
        <v>0</v>
      </c>
      <c r="U41" t="s">
        <v>31</v>
      </c>
    </row>
    <row r="42" spans="1:21" x14ac:dyDescent="0.45">
      <c r="A42">
        <v>41</v>
      </c>
      <c r="B42" t="s">
        <v>65</v>
      </c>
      <c r="C42" s="2">
        <v>45781</v>
      </c>
      <c r="D42" t="s">
        <v>190</v>
      </c>
      <c r="E42" t="s">
        <v>191</v>
      </c>
      <c r="F42">
        <v>51280</v>
      </c>
      <c r="G42">
        <v>2825</v>
      </c>
      <c r="H42" t="s">
        <v>192</v>
      </c>
      <c r="I42" t="s">
        <v>193</v>
      </c>
      <c r="J42" t="s">
        <v>26</v>
      </c>
      <c r="K42" t="s">
        <v>194</v>
      </c>
      <c r="L42" t="s">
        <v>195</v>
      </c>
      <c r="M42" t="s">
        <v>29</v>
      </c>
      <c r="N42" t="s">
        <v>70</v>
      </c>
      <c r="O42" t="s">
        <v>111</v>
      </c>
      <c r="P42">
        <v>2</v>
      </c>
      <c r="Q42" t="s">
        <v>31</v>
      </c>
      <c r="R42">
        <v>2</v>
      </c>
      <c r="S42" t="s">
        <v>31</v>
      </c>
      <c r="T42">
        <v>0.5</v>
      </c>
      <c r="U42" t="s">
        <v>31</v>
      </c>
    </row>
    <row r="43" spans="1:21" x14ac:dyDescent="0.45">
      <c r="A43">
        <v>42</v>
      </c>
      <c r="B43" t="s">
        <v>65</v>
      </c>
      <c r="C43" s="2">
        <v>45784</v>
      </c>
      <c r="D43" t="s">
        <v>196</v>
      </c>
      <c r="E43" t="s">
        <v>197</v>
      </c>
      <c r="F43">
        <v>69002</v>
      </c>
      <c r="G43">
        <v>12520</v>
      </c>
      <c r="H43" t="s">
        <v>192</v>
      </c>
      <c r="I43" t="s">
        <v>193</v>
      </c>
      <c r="J43" t="s">
        <v>26</v>
      </c>
      <c r="K43" t="s">
        <v>198</v>
      </c>
      <c r="L43" t="s">
        <v>199</v>
      </c>
      <c r="M43" t="s">
        <v>29</v>
      </c>
      <c r="N43" t="s">
        <v>70</v>
      </c>
      <c r="O43" t="s">
        <v>111</v>
      </c>
      <c r="P43">
        <v>2</v>
      </c>
      <c r="Q43" t="s">
        <v>31</v>
      </c>
      <c r="R43">
        <v>2</v>
      </c>
      <c r="S43" t="s">
        <v>31</v>
      </c>
      <c r="T43">
        <v>0.5</v>
      </c>
      <c r="U43" t="s">
        <v>31</v>
      </c>
    </row>
    <row r="44" spans="1:21" x14ac:dyDescent="0.45">
      <c r="A44">
        <v>43</v>
      </c>
      <c r="B44" t="s">
        <v>65</v>
      </c>
      <c r="C44" s="2">
        <v>45787</v>
      </c>
      <c r="D44" t="s">
        <v>200</v>
      </c>
      <c r="E44" t="s">
        <v>201</v>
      </c>
      <c r="F44">
        <v>4252</v>
      </c>
      <c r="G44">
        <v>55480</v>
      </c>
      <c r="H44" t="s">
        <v>192</v>
      </c>
      <c r="I44" t="s">
        <v>193</v>
      </c>
      <c r="J44" t="s">
        <v>26</v>
      </c>
      <c r="K44" t="s">
        <v>202</v>
      </c>
      <c r="L44" t="s">
        <v>203</v>
      </c>
      <c r="M44" t="s">
        <v>29</v>
      </c>
      <c r="N44" t="s">
        <v>70</v>
      </c>
      <c r="O44" t="s">
        <v>111</v>
      </c>
      <c r="P44">
        <v>2</v>
      </c>
      <c r="Q44" t="s">
        <v>31</v>
      </c>
      <c r="R44">
        <v>2</v>
      </c>
      <c r="S44" t="s">
        <v>31</v>
      </c>
      <c r="T44">
        <v>0.5</v>
      </c>
      <c r="U44" t="s">
        <v>31</v>
      </c>
    </row>
    <row r="45" spans="1:21" x14ac:dyDescent="0.45">
      <c r="A45">
        <v>44</v>
      </c>
      <c r="B45" t="s">
        <v>65</v>
      </c>
      <c r="C45" s="2">
        <v>45790</v>
      </c>
      <c r="D45" t="s">
        <v>204</v>
      </c>
      <c r="E45" t="s">
        <v>205</v>
      </c>
      <c r="F45">
        <v>76467</v>
      </c>
      <c r="G45">
        <v>8557</v>
      </c>
      <c r="H45" t="s">
        <v>192</v>
      </c>
      <c r="I45" t="s">
        <v>193</v>
      </c>
      <c r="J45" t="s">
        <v>26</v>
      </c>
      <c r="K45" t="s">
        <v>206</v>
      </c>
      <c r="L45" t="s">
        <v>207</v>
      </c>
      <c r="M45" t="s">
        <v>29</v>
      </c>
      <c r="N45" t="s">
        <v>70</v>
      </c>
      <c r="O45" t="s">
        <v>111</v>
      </c>
      <c r="P45">
        <v>2</v>
      </c>
      <c r="Q45" t="s">
        <v>31</v>
      </c>
      <c r="R45">
        <v>2</v>
      </c>
      <c r="S45" t="s">
        <v>31</v>
      </c>
      <c r="T45">
        <v>0.5</v>
      </c>
      <c r="U45" t="s">
        <v>31</v>
      </c>
    </row>
    <row r="46" spans="1:21" x14ac:dyDescent="0.45">
      <c r="A46">
        <v>45</v>
      </c>
      <c r="B46" t="s">
        <v>65</v>
      </c>
      <c r="C46" s="2">
        <v>45793</v>
      </c>
      <c r="D46" t="s">
        <v>208</v>
      </c>
      <c r="E46" t="s">
        <v>209</v>
      </c>
      <c r="F46">
        <v>32394</v>
      </c>
      <c r="G46">
        <v>41679</v>
      </c>
      <c r="H46" t="s">
        <v>192</v>
      </c>
      <c r="I46" t="s">
        <v>193</v>
      </c>
      <c r="J46" t="s">
        <v>26</v>
      </c>
      <c r="K46" t="s">
        <v>210</v>
      </c>
      <c r="L46" t="s">
        <v>211</v>
      </c>
      <c r="M46" t="s">
        <v>29</v>
      </c>
      <c r="N46" t="s">
        <v>70</v>
      </c>
      <c r="O46" t="s">
        <v>111</v>
      </c>
      <c r="P46">
        <v>2</v>
      </c>
      <c r="Q46" t="s">
        <v>31</v>
      </c>
      <c r="R46">
        <v>2</v>
      </c>
      <c r="S46" t="s">
        <v>31</v>
      </c>
      <c r="T46">
        <v>0.5</v>
      </c>
      <c r="U46" t="s">
        <v>31</v>
      </c>
    </row>
    <row r="47" spans="1:21" x14ac:dyDescent="0.45">
      <c r="A47">
        <v>46</v>
      </c>
      <c r="B47" t="s">
        <v>65</v>
      </c>
      <c r="C47" s="2">
        <v>45796</v>
      </c>
      <c r="D47" t="s">
        <v>212</v>
      </c>
      <c r="E47" t="s">
        <v>213</v>
      </c>
      <c r="F47">
        <v>58621</v>
      </c>
      <c r="G47">
        <v>40982</v>
      </c>
      <c r="H47" t="s">
        <v>192</v>
      </c>
      <c r="I47" t="s">
        <v>193</v>
      </c>
      <c r="J47" t="s">
        <v>214</v>
      </c>
      <c r="K47" t="s">
        <v>215</v>
      </c>
      <c r="L47" t="s">
        <v>216</v>
      </c>
      <c r="M47" t="s">
        <v>29</v>
      </c>
      <c r="N47" t="s">
        <v>217</v>
      </c>
      <c r="P47">
        <v>2</v>
      </c>
      <c r="Q47" t="s">
        <v>31</v>
      </c>
      <c r="R47">
        <v>2</v>
      </c>
      <c r="S47" t="s">
        <v>31</v>
      </c>
      <c r="T47">
        <v>0.5</v>
      </c>
      <c r="U47" t="s">
        <v>31</v>
      </c>
    </row>
    <row r="48" spans="1:21" x14ac:dyDescent="0.45">
      <c r="A48">
        <v>47</v>
      </c>
      <c r="B48" t="s">
        <v>65</v>
      </c>
      <c r="C48" s="2">
        <v>45799</v>
      </c>
      <c r="D48" t="s">
        <v>218</v>
      </c>
      <c r="E48" t="s">
        <v>219</v>
      </c>
      <c r="F48">
        <v>20681</v>
      </c>
      <c r="G48">
        <v>13900</v>
      </c>
      <c r="H48" t="s">
        <v>192</v>
      </c>
      <c r="I48" t="s">
        <v>193</v>
      </c>
      <c r="J48" t="s">
        <v>214</v>
      </c>
      <c r="K48" t="s">
        <v>220</v>
      </c>
      <c r="L48" t="s">
        <v>221</v>
      </c>
      <c r="M48" t="s">
        <v>29</v>
      </c>
      <c r="N48" t="s">
        <v>217</v>
      </c>
      <c r="P48">
        <v>2</v>
      </c>
      <c r="Q48" t="s">
        <v>31</v>
      </c>
      <c r="R48">
        <v>2</v>
      </c>
      <c r="S48" t="s">
        <v>31</v>
      </c>
      <c r="T48">
        <v>0.5</v>
      </c>
      <c r="U48" t="s">
        <v>31</v>
      </c>
    </row>
    <row r="49" spans="1:21" x14ac:dyDescent="0.45">
      <c r="A49">
        <v>48</v>
      </c>
      <c r="B49" t="s">
        <v>65</v>
      </c>
      <c r="C49" s="2">
        <v>45802</v>
      </c>
      <c r="D49" t="s">
        <v>222</v>
      </c>
      <c r="E49" t="s">
        <v>223</v>
      </c>
      <c r="F49">
        <v>1819</v>
      </c>
      <c r="G49">
        <v>64721</v>
      </c>
      <c r="H49" t="s">
        <v>192</v>
      </c>
      <c r="I49" t="s">
        <v>193</v>
      </c>
      <c r="J49" t="s">
        <v>214</v>
      </c>
      <c r="K49" t="s">
        <v>224</v>
      </c>
      <c r="L49" t="s">
        <v>225</v>
      </c>
      <c r="M49" t="s">
        <v>29</v>
      </c>
      <c r="N49" t="s">
        <v>217</v>
      </c>
      <c r="P49">
        <v>2</v>
      </c>
      <c r="Q49" t="s">
        <v>31</v>
      </c>
      <c r="R49">
        <v>2</v>
      </c>
      <c r="S49" t="s">
        <v>31</v>
      </c>
      <c r="T49">
        <v>0.5</v>
      </c>
      <c r="U49" t="s">
        <v>31</v>
      </c>
    </row>
    <row r="50" spans="1:21" x14ac:dyDescent="0.45">
      <c r="A50">
        <v>49</v>
      </c>
      <c r="B50" t="s">
        <v>65</v>
      </c>
      <c r="C50" s="2">
        <v>45805</v>
      </c>
      <c r="D50" t="s">
        <v>226</v>
      </c>
      <c r="E50" t="s">
        <v>227</v>
      </c>
      <c r="F50">
        <v>6017</v>
      </c>
      <c r="G50">
        <v>69038</v>
      </c>
      <c r="H50" t="s">
        <v>192</v>
      </c>
      <c r="I50" t="s">
        <v>193</v>
      </c>
      <c r="J50" t="s">
        <v>228</v>
      </c>
      <c r="K50" t="s">
        <v>229</v>
      </c>
      <c r="L50" t="s">
        <v>230</v>
      </c>
      <c r="M50" t="s">
        <v>29</v>
      </c>
      <c r="N50" t="s">
        <v>217</v>
      </c>
      <c r="P50">
        <v>2</v>
      </c>
      <c r="Q50" t="s">
        <v>31</v>
      </c>
      <c r="R50">
        <v>2</v>
      </c>
      <c r="S50" t="s">
        <v>31</v>
      </c>
      <c r="T50">
        <v>0.5</v>
      </c>
      <c r="U50" t="s">
        <v>31</v>
      </c>
    </row>
    <row r="51" spans="1:21" x14ac:dyDescent="0.45">
      <c r="A51">
        <v>50</v>
      </c>
      <c r="B51" t="s">
        <v>65</v>
      </c>
      <c r="C51" s="2">
        <v>45808</v>
      </c>
      <c r="D51" t="s">
        <v>231</v>
      </c>
      <c r="E51" t="s">
        <v>232</v>
      </c>
      <c r="F51">
        <v>3659</v>
      </c>
      <c r="G51">
        <v>30753</v>
      </c>
      <c r="H51" t="s">
        <v>192</v>
      </c>
      <c r="I51" t="s">
        <v>193</v>
      </c>
      <c r="J51" t="s">
        <v>228</v>
      </c>
      <c r="K51" t="s">
        <v>233</v>
      </c>
      <c r="L51" t="s">
        <v>234</v>
      </c>
      <c r="M51" t="s">
        <v>29</v>
      </c>
      <c r="N51" t="s">
        <v>217</v>
      </c>
      <c r="P51">
        <v>2</v>
      </c>
      <c r="Q51" t="s">
        <v>31</v>
      </c>
      <c r="R51">
        <v>2</v>
      </c>
      <c r="S51" t="s">
        <v>31</v>
      </c>
      <c r="T51">
        <v>0.5</v>
      </c>
      <c r="U51" t="s">
        <v>31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51"/>
  <sheetViews>
    <sheetView workbookViewId="0"/>
  </sheetViews>
  <sheetFormatPr defaultRowHeight="14.25" x14ac:dyDescent="0.45"/>
  <sheetData>
    <row r="1" spans="1:1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7</v>
      </c>
      <c r="H1" s="1" t="s">
        <v>9</v>
      </c>
      <c r="I1" s="1" t="s">
        <v>10</v>
      </c>
      <c r="J1" s="1" t="s">
        <v>13</v>
      </c>
      <c r="K1" s="1" t="s">
        <v>14</v>
      </c>
      <c r="L1" s="1" t="s">
        <v>235</v>
      </c>
      <c r="M1" s="1" t="s">
        <v>236</v>
      </c>
      <c r="N1" s="1" t="s">
        <v>237</v>
      </c>
      <c r="O1" s="1" t="s">
        <v>238</v>
      </c>
      <c r="P1" s="1" t="s">
        <v>239</v>
      </c>
    </row>
    <row r="2" spans="1:16" x14ac:dyDescent="0.45">
      <c r="A2">
        <v>1</v>
      </c>
      <c r="B2" t="s">
        <v>21</v>
      </c>
      <c r="C2" s="2">
        <v>45661</v>
      </c>
      <c r="D2" t="s">
        <v>22</v>
      </c>
      <c r="E2">
        <v>45468</v>
      </c>
      <c r="F2">
        <v>3755</v>
      </c>
      <c r="G2" t="s">
        <v>24</v>
      </c>
      <c r="H2" t="s">
        <v>26</v>
      </c>
      <c r="I2" t="s">
        <v>27</v>
      </c>
      <c r="J2" t="s">
        <v>30</v>
      </c>
      <c r="L2">
        <v>2</v>
      </c>
      <c r="M2">
        <v>2</v>
      </c>
      <c r="N2">
        <v>0</v>
      </c>
      <c r="O2" s="3">
        <v>45661</v>
      </c>
      <c r="P2" t="s">
        <v>240</v>
      </c>
    </row>
    <row r="3" spans="1:16" x14ac:dyDescent="0.45">
      <c r="A3">
        <v>2</v>
      </c>
      <c r="B3" t="s">
        <v>21</v>
      </c>
      <c r="C3" s="2">
        <v>45664</v>
      </c>
      <c r="D3" t="s">
        <v>32</v>
      </c>
      <c r="E3">
        <v>23917</v>
      </c>
      <c r="F3">
        <v>21902</v>
      </c>
      <c r="G3" t="s">
        <v>24</v>
      </c>
      <c r="H3" t="s">
        <v>26</v>
      </c>
      <c r="I3" t="s">
        <v>34</v>
      </c>
      <c r="J3" t="s">
        <v>30</v>
      </c>
      <c r="L3">
        <v>2</v>
      </c>
      <c r="M3">
        <v>2</v>
      </c>
      <c r="N3">
        <v>0</v>
      </c>
      <c r="O3" s="3">
        <v>45664</v>
      </c>
      <c r="P3" t="s">
        <v>240</v>
      </c>
    </row>
    <row r="4" spans="1:16" x14ac:dyDescent="0.45">
      <c r="A4">
        <v>3</v>
      </c>
      <c r="B4" t="s">
        <v>21</v>
      </c>
      <c r="C4" s="2">
        <v>45667</v>
      </c>
      <c r="D4" t="s">
        <v>36</v>
      </c>
      <c r="E4">
        <v>46047</v>
      </c>
      <c r="F4">
        <v>61826</v>
      </c>
      <c r="G4" t="s">
        <v>24</v>
      </c>
      <c r="H4" t="s">
        <v>26</v>
      </c>
      <c r="I4" t="s">
        <v>38</v>
      </c>
      <c r="J4" t="s">
        <v>30</v>
      </c>
      <c r="L4">
        <v>2</v>
      </c>
      <c r="M4">
        <v>2</v>
      </c>
      <c r="N4">
        <v>0</v>
      </c>
      <c r="O4" s="3">
        <v>45667</v>
      </c>
      <c r="P4" t="s">
        <v>240</v>
      </c>
    </row>
    <row r="5" spans="1:16" x14ac:dyDescent="0.45">
      <c r="A5">
        <v>4</v>
      </c>
      <c r="B5" t="s">
        <v>21</v>
      </c>
      <c r="C5" s="2">
        <v>45670</v>
      </c>
      <c r="D5" t="s">
        <v>40</v>
      </c>
      <c r="E5">
        <v>31251</v>
      </c>
      <c r="F5">
        <v>58107</v>
      </c>
      <c r="G5" t="s">
        <v>24</v>
      </c>
      <c r="H5" t="s">
        <v>26</v>
      </c>
      <c r="I5" t="s">
        <v>42</v>
      </c>
      <c r="J5" t="s">
        <v>30</v>
      </c>
      <c r="L5">
        <v>2</v>
      </c>
      <c r="M5">
        <v>2</v>
      </c>
      <c r="N5">
        <v>0</v>
      </c>
      <c r="O5" s="3">
        <v>45670</v>
      </c>
      <c r="P5" t="s">
        <v>240</v>
      </c>
    </row>
    <row r="6" spans="1:16" x14ac:dyDescent="0.45">
      <c r="A6">
        <v>5</v>
      </c>
      <c r="B6" t="s">
        <v>21</v>
      </c>
      <c r="C6" s="2">
        <v>45673</v>
      </c>
      <c r="D6" t="s">
        <v>44</v>
      </c>
      <c r="E6">
        <v>8734</v>
      </c>
      <c r="F6">
        <v>41176</v>
      </c>
      <c r="G6" t="s">
        <v>24</v>
      </c>
      <c r="H6" t="s">
        <v>26</v>
      </c>
      <c r="I6" t="s">
        <v>46</v>
      </c>
      <c r="J6" t="s">
        <v>30</v>
      </c>
      <c r="L6">
        <v>2</v>
      </c>
      <c r="M6">
        <v>2</v>
      </c>
      <c r="N6">
        <v>0</v>
      </c>
      <c r="O6" s="3">
        <v>45673</v>
      </c>
      <c r="P6" t="s">
        <v>240</v>
      </c>
    </row>
    <row r="7" spans="1:16" x14ac:dyDescent="0.45">
      <c r="A7">
        <v>6</v>
      </c>
      <c r="B7" t="s">
        <v>21</v>
      </c>
      <c r="C7" s="2">
        <v>45676</v>
      </c>
      <c r="D7" t="s">
        <v>48</v>
      </c>
      <c r="E7">
        <v>75660</v>
      </c>
      <c r="F7">
        <v>54338</v>
      </c>
      <c r="G7" t="s">
        <v>24</v>
      </c>
      <c r="H7" t="s">
        <v>26</v>
      </c>
      <c r="I7" t="s">
        <v>50</v>
      </c>
      <c r="J7" t="s">
        <v>30</v>
      </c>
      <c r="L7">
        <v>2</v>
      </c>
      <c r="M7">
        <v>2</v>
      </c>
      <c r="N7">
        <v>0</v>
      </c>
      <c r="O7" s="3">
        <v>45676</v>
      </c>
      <c r="P7" t="s">
        <v>240</v>
      </c>
    </row>
    <row r="8" spans="1:16" x14ac:dyDescent="0.45">
      <c r="A8">
        <v>7</v>
      </c>
      <c r="B8" t="s">
        <v>21</v>
      </c>
      <c r="C8" s="2">
        <v>45679</v>
      </c>
      <c r="D8" t="s">
        <v>51</v>
      </c>
      <c r="E8">
        <v>21172</v>
      </c>
      <c r="F8">
        <v>43404</v>
      </c>
      <c r="G8" t="s">
        <v>24</v>
      </c>
      <c r="H8" t="s">
        <v>26</v>
      </c>
      <c r="I8" t="s">
        <v>53</v>
      </c>
      <c r="J8" t="s">
        <v>30</v>
      </c>
      <c r="L8">
        <v>2</v>
      </c>
      <c r="M8">
        <v>2</v>
      </c>
      <c r="N8">
        <v>0</v>
      </c>
      <c r="O8" s="3">
        <v>45679</v>
      </c>
      <c r="P8" t="s">
        <v>240</v>
      </c>
    </row>
    <row r="9" spans="1:16" x14ac:dyDescent="0.45">
      <c r="A9">
        <v>8</v>
      </c>
      <c r="B9" t="s">
        <v>54</v>
      </c>
      <c r="C9" s="2">
        <v>45682</v>
      </c>
      <c r="D9" t="s">
        <v>55</v>
      </c>
      <c r="E9">
        <v>50911</v>
      </c>
      <c r="F9">
        <v>51585</v>
      </c>
      <c r="G9" t="s">
        <v>24</v>
      </c>
      <c r="H9" t="s">
        <v>26</v>
      </c>
      <c r="I9" t="s">
        <v>57</v>
      </c>
      <c r="J9" t="s">
        <v>30</v>
      </c>
      <c r="L9">
        <v>2</v>
      </c>
      <c r="M9">
        <v>2</v>
      </c>
      <c r="N9">
        <v>0</v>
      </c>
      <c r="O9" s="3">
        <v>45682</v>
      </c>
      <c r="P9" t="s">
        <v>240</v>
      </c>
    </row>
    <row r="10" spans="1:16" x14ac:dyDescent="0.45">
      <c r="A10">
        <v>9</v>
      </c>
      <c r="B10" t="s">
        <v>54</v>
      </c>
      <c r="C10" s="2">
        <v>45685</v>
      </c>
      <c r="D10" t="s">
        <v>58</v>
      </c>
      <c r="E10">
        <v>39497</v>
      </c>
      <c r="F10">
        <v>22320</v>
      </c>
      <c r="G10" t="s">
        <v>24</v>
      </c>
      <c r="H10" t="s">
        <v>26</v>
      </c>
      <c r="I10" t="s">
        <v>60</v>
      </c>
      <c r="J10" t="s">
        <v>30</v>
      </c>
      <c r="L10">
        <v>2</v>
      </c>
      <c r="M10">
        <v>2</v>
      </c>
      <c r="N10">
        <v>0</v>
      </c>
      <c r="O10" s="3">
        <v>45685</v>
      </c>
      <c r="P10" t="s">
        <v>240</v>
      </c>
    </row>
    <row r="11" spans="1:16" x14ac:dyDescent="0.45">
      <c r="A11">
        <v>10</v>
      </c>
      <c r="B11" t="s">
        <v>54</v>
      </c>
      <c r="C11" s="2">
        <v>45688</v>
      </c>
      <c r="D11" t="s">
        <v>61</v>
      </c>
      <c r="E11">
        <v>79174</v>
      </c>
      <c r="F11">
        <v>52377</v>
      </c>
      <c r="G11" t="s">
        <v>24</v>
      </c>
      <c r="H11" t="s">
        <v>26</v>
      </c>
      <c r="I11" t="s">
        <v>63</v>
      </c>
      <c r="J11" t="s">
        <v>30</v>
      </c>
      <c r="L11">
        <v>2</v>
      </c>
      <c r="M11">
        <v>2</v>
      </c>
      <c r="N11">
        <v>0</v>
      </c>
      <c r="O11" s="3">
        <v>45688</v>
      </c>
      <c r="P11" t="s">
        <v>240</v>
      </c>
    </row>
    <row r="12" spans="1:16" x14ac:dyDescent="0.45">
      <c r="A12">
        <v>11</v>
      </c>
      <c r="B12" t="s">
        <v>65</v>
      </c>
      <c r="C12" s="2">
        <v>45691</v>
      </c>
      <c r="D12" t="s">
        <v>66</v>
      </c>
      <c r="E12">
        <v>29724</v>
      </c>
      <c r="F12">
        <v>16300</v>
      </c>
      <c r="G12" t="s">
        <v>24</v>
      </c>
      <c r="H12" t="s">
        <v>26</v>
      </c>
      <c r="I12" t="s">
        <v>68</v>
      </c>
      <c r="J12" t="s">
        <v>70</v>
      </c>
      <c r="L12">
        <v>2</v>
      </c>
      <c r="M12">
        <v>2</v>
      </c>
      <c r="N12">
        <v>0</v>
      </c>
      <c r="O12" s="3">
        <v>45691</v>
      </c>
      <c r="P12" t="s">
        <v>241</v>
      </c>
    </row>
    <row r="13" spans="1:16" x14ac:dyDescent="0.45">
      <c r="A13">
        <v>12</v>
      </c>
      <c r="B13" t="s">
        <v>65</v>
      </c>
      <c r="C13" s="2">
        <v>45694</v>
      </c>
      <c r="D13" t="s">
        <v>71</v>
      </c>
      <c r="E13">
        <v>10003</v>
      </c>
      <c r="F13">
        <v>60998</v>
      </c>
      <c r="G13" t="s">
        <v>24</v>
      </c>
      <c r="H13" t="s">
        <v>26</v>
      </c>
      <c r="I13" t="s">
        <v>73</v>
      </c>
      <c r="J13" t="s">
        <v>70</v>
      </c>
      <c r="L13">
        <v>2</v>
      </c>
      <c r="M13">
        <v>2</v>
      </c>
      <c r="N13">
        <v>0</v>
      </c>
      <c r="O13" s="3">
        <v>45694</v>
      </c>
      <c r="P13" t="s">
        <v>241</v>
      </c>
    </row>
    <row r="14" spans="1:16" x14ac:dyDescent="0.45">
      <c r="A14">
        <v>13</v>
      </c>
      <c r="B14" t="s">
        <v>65</v>
      </c>
      <c r="C14" s="2">
        <v>45697</v>
      </c>
      <c r="D14" t="s">
        <v>75</v>
      </c>
      <c r="E14">
        <v>44009</v>
      </c>
      <c r="F14">
        <v>64659</v>
      </c>
      <c r="G14" t="s">
        <v>24</v>
      </c>
      <c r="H14" t="s">
        <v>26</v>
      </c>
      <c r="I14" t="s">
        <v>77</v>
      </c>
      <c r="J14" t="s">
        <v>70</v>
      </c>
      <c r="L14">
        <v>2</v>
      </c>
      <c r="M14">
        <v>2</v>
      </c>
      <c r="N14">
        <v>0</v>
      </c>
      <c r="O14" s="3">
        <v>45697</v>
      </c>
      <c r="P14" t="s">
        <v>241</v>
      </c>
    </row>
    <row r="15" spans="1:16" x14ac:dyDescent="0.45">
      <c r="A15">
        <v>14</v>
      </c>
      <c r="B15" t="s">
        <v>65</v>
      </c>
      <c r="C15" s="2">
        <v>45700</v>
      </c>
      <c r="D15" t="s">
        <v>79</v>
      </c>
      <c r="E15">
        <v>17499</v>
      </c>
      <c r="F15">
        <v>17839</v>
      </c>
      <c r="G15" t="s">
        <v>24</v>
      </c>
      <c r="H15" t="s">
        <v>26</v>
      </c>
      <c r="I15" t="s">
        <v>81</v>
      </c>
      <c r="J15" t="s">
        <v>70</v>
      </c>
      <c r="L15">
        <v>2</v>
      </c>
      <c r="M15">
        <v>2</v>
      </c>
      <c r="N15">
        <v>0</v>
      </c>
      <c r="O15" s="3">
        <v>45700</v>
      </c>
      <c r="P15" t="s">
        <v>241</v>
      </c>
    </row>
    <row r="16" spans="1:16" x14ac:dyDescent="0.45">
      <c r="A16">
        <v>15</v>
      </c>
      <c r="B16" t="s">
        <v>65</v>
      </c>
      <c r="C16" s="2">
        <v>45703</v>
      </c>
      <c r="D16" t="s">
        <v>83</v>
      </c>
      <c r="E16">
        <v>63845</v>
      </c>
      <c r="F16">
        <v>22976</v>
      </c>
      <c r="G16" t="s">
        <v>24</v>
      </c>
      <c r="H16" t="s">
        <v>26</v>
      </c>
      <c r="I16" t="s">
        <v>85</v>
      </c>
      <c r="J16" t="s">
        <v>70</v>
      </c>
      <c r="L16">
        <v>2</v>
      </c>
      <c r="M16">
        <v>2</v>
      </c>
      <c r="N16">
        <v>0</v>
      </c>
      <c r="O16" s="3">
        <v>45703</v>
      </c>
      <c r="P16" t="s">
        <v>241</v>
      </c>
    </row>
    <row r="17" spans="1:16" x14ac:dyDescent="0.45">
      <c r="A17">
        <v>16</v>
      </c>
      <c r="B17" t="s">
        <v>65</v>
      </c>
      <c r="C17" s="2">
        <v>45706</v>
      </c>
      <c r="D17" t="s">
        <v>87</v>
      </c>
      <c r="E17">
        <v>27595</v>
      </c>
      <c r="F17">
        <v>33889</v>
      </c>
      <c r="G17" t="s">
        <v>24</v>
      </c>
      <c r="H17" t="s">
        <v>26</v>
      </c>
      <c r="I17" t="s">
        <v>89</v>
      </c>
      <c r="J17" t="s">
        <v>70</v>
      </c>
      <c r="K17" t="s">
        <v>228</v>
      </c>
      <c r="L17">
        <v>2</v>
      </c>
      <c r="M17">
        <v>2</v>
      </c>
      <c r="N17">
        <v>0</v>
      </c>
      <c r="O17" s="3">
        <v>45706</v>
      </c>
      <c r="P17" t="s">
        <v>241</v>
      </c>
    </row>
    <row r="18" spans="1:16" x14ac:dyDescent="0.45">
      <c r="A18">
        <v>17</v>
      </c>
      <c r="B18" t="s">
        <v>65</v>
      </c>
      <c r="C18" s="2">
        <v>45709</v>
      </c>
      <c r="D18" t="s">
        <v>91</v>
      </c>
      <c r="E18">
        <v>6438</v>
      </c>
      <c r="F18">
        <v>65465</v>
      </c>
      <c r="G18" t="s">
        <v>24</v>
      </c>
      <c r="H18" t="s">
        <v>26</v>
      </c>
      <c r="I18" t="s">
        <v>93</v>
      </c>
      <c r="J18" t="s">
        <v>70</v>
      </c>
      <c r="K18" t="s">
        <v>228</v>
      </c>
      <c r="L18">
        <v>2</v>
      </c>
      <c r="M18">
        <v>2</v>
      </c>
      <c r="N18">
        <v>0</v>
      </c>
      <c r="O18" s="3">
        <v>45709</v>
      </c>
      <c r="P18" t="s">
        <v>241</v>
      </c>
    </row>
    <row r="19" spans="1:16" x14ac:dyDescent="0.45">
      <c r="A19">
        <v>18</v>
      </c>
      <c r="B19" t="s">
        <v>65</v>
      </c>
      <c r="C19" s="2">
        <v>45712</v>
      </c>
      <c r="D19" t="s">
        <v>95</v>
      </c>
      <c r="E19">
        <v>17329</v>
      </c>
      <c r="F19">
        <v>34206</v>
      </c>
      <c r="G19" t="s">
        <v>24</v>
      </c>
      <c r="H19" t="s">
        <v>26</v>
      </c>
      <c r="I19" t="s">
        <v>97</v>
      </c>
      <c r="J19" t="s">
        <v>70</v>
      </c>
      <c r="K19" t="s">
        <v>228</v>
      </c>
      <c r="L19">
        <v>2</v>
      </c>
      <c r="M19">
        <v>2</v>
      </c>
      <c r="N19">
        <v>0</v>
      </c>
      <c r="O19" s="3">
        <v>45712</v>
      </c>
      <c r="P19" t="s">
        <v>241</v>
      </c>
    </row>
    <row r="20" spans="1:16" x14ac:dyDescent="0.45">
      <c r="A20">
        <v>19</v>
      </c>
      <c r="B20" t="s">
        <v>65</v>
      </c>
      <c r="C20" s="2">
        <v>45715</v>
      </c>
      <c r="D20" t="s">
        <v>99</v>
      </c>
      <c r="E20">
        <v>57199</v>
      </c>
      <c r="F20">
        <v>19562</v>
      </c>
      <c r="G20" t="s">
        <v>24</v>
      </c>
      <c r="H20" t="s">
        <v>26</v>
      </c>
      <c r="I20" t="s">
        <v>101</v>
      </c>
      <c r="J20" t="s">
        <v>70</v>
      </c>
      <c r="K20" t="s">
        <v>228</v>
      </c>
      <c r="L20">
        <v>2</v>
      </c>
      <c r="M20">
        <v>2</v>
      </c>
      <c r="N20">
        <v>0</v>
      </c>
      <c r="O20" s="3">
        <v>45715</v>
      </c>
      <c r="P20" t="s">
        <v>241</v>
      </c>
    </row>
    <row r="21" spans="1:16" x14ac:dyDescent="0.45">
      <c r="A21">
        <v>20</v>
      </c>
      <c r="B21" t="s">
        <v>65</v>
      </c>
      <c r="C21" s="2">
        <v>45718</v>
      </c>
      <c r="D21" t="s">
        <v>103</v>
      </c>
      <c r="E21">
        <v>46470</v>
      </c>
      <c r="F21">
        <v>75818</v>
      </c>
      <c r="G21" t="s">
        <v>24</v>
      </c>
      <c r="H21" t="s">
        <v>26</v>
      </c>
      <c r="I21" t="s">
        <v>105</v>
      </c>
      <c r="J21" t="s">
        <v>70</v>
      </c>
      <c r="L21">
        <v>2</v>
      </c>
      <c r="M21">
        <v>2</v>
      </c>
      <c r="N21">
        <v>0</v>
      </c>
      <c r="O21" s="3">
        <v>45718</v>
      </c>
      <c r="P21" t="s">
        <v>242</v>
      </c>
    </row>
    <row r="22" spans="1:16" x14ac:dyDescent="0.45">
      <c r="A22">
        <v>21</v>
      </c>
      <c r="B22" t="s">
        <v>65</v>
      </c>
      <c r="C22" s="2">
        <v>45721</v>
      </c>
      <c r="D22" t="s">
        <v>107</v>
      </c>
      <c r="E22">
        <v>53388</v>
      </c>
      <c r="F22">
        <v>38252</v>
      </c>
      <c r="G22" t="s">
        <v>24</v>
      </c>
      <c r="H22" t="s">
        <v>26</v>
      </c>
      <c r="I22" t="s">
        <v>109</v>
      </c>
      <c r="J22" t="s">
        <v>70</v>
      </c>
      <c r="K22" t="s">
        <v>111</v>
      </c>
      <c r="L22">
        <v>2</v>
      </c>
      <c r="M22">
        <v>2</v>
      </c>
      <c r="N22">
        <v>0</v>
      </c>
      <c r="O22" s="3">
        <v>45721</v>
      </c>
      <c r="P22" t="s">
        <v>242</v>
      </c>
    </row>
    <row r="23" spans="1:16" x14ac:dyDescent="0.45">
      <c r="A23">
        <v>22</v>
      </c>
      <c r="B23" t="s">
        <v>65</v>
      </c>
      <c r="C23" s="2">
        <v>45724</v>
      </c>
      <c r="D23" t="s">
        <v>112</v>
      </c>
      <c r="E23">
        <v>66390</v>
      </c>
      <c r="F23">
        <v>19764</v>
      </c>
      <c r="G23" t="s">
        <v>24</v>
      </c>
      <c r="H23" t="s">
        <v>26</v>
      </c>
      <c r="I23" t="s">
        <v>114</v>
      </c>
      <c r="J23" t="s">
        <v>70</v>
      </c>
      <c r="K23" t="s">
        <v>111</v>
      </c>
      <c r="L23">
        <v>2</v>
      </c>
      <c r="M23">
        <v>2</v>
      </c>
      <c r="N23">
        <v>0</v>
      </c>
      <c r="O23" s="3">
        <v>45724</v>
      </c>
      <c r="P23" t="s">
        <v>242</v>
      </c>
    </row>
    <row r="24" spans="1:16" x14ac:dyDescent="0.45">
      <c r="A24">
        <v>23</v>
      </c>
      <c r="B24" t="s">
        <v>65</v>
      </c>
      <c r="C24" s="2">
        <v>45727</v>
      </c>
      <c r="D24" t="s">
        <v>116</v>
      </c>
      <c r="E24">
        <v>77031</v>
      </c>
      <c r="F24">
        <v>44076</v>
      </c>
      <c r="G24" t="s">
        <v>24</v>
      </c>
      <c r="H24" t="s">
        <v>26</v>
      </c>
      <c r="I24" t="s">
        <v>118</v>
      </c>
      <c r="J24" t="s">
        <v>70</v>
      </c>
      <c r="K24" t="s">
        <v>111</v>
      </c>
      <c r="L24">
        <v>2</v>
      </c>
      <c r="M24">
        <v>2</v>
      </c>
      <c r="N24">
        <v>0</v>
      </c>
      <c r="O24" s="3">
        <v>45727</v>
      </c>
      <c r="P24" t="s">
        <v>242</v>
      </c>
    </row>
    <row r="25" spans="1:16" x14ac:dyDescent="0.45">
      <c r="A25">
        <v>24</v>
      </c>
      <c r="B25" t="s">
        <v>65</v>
      </c>
      <c r="C25" s="2">
        <v>45730</v>
      </c>
      <c r="D25" t="s">
        <v>120</v>
      </c>
      <c r="E25">
        <v>23182</v>
      </c>
      <c r="F25">
        <v>42982</v>
      </c>
      <c r="G25" t="s">
        <v>24</v>
      </c>
      <c r="H25" t="s">
        <v>26</v>
      </c>
      <c r="I25" t="s">
        <v>122</v>
      </c>
      <c r="J25" t="s">
        <v>70</v>
      </c>
      <c r="K25" t="s">
        <v>111</v>
      </c>
      <c r="L25">
        <v>2</v>
      </c>
      <c r="M25">
        <v>2</v>
      </c>
      <c r="N25">
        <v>0</v>
      </c>
      <c r="O25" s="3">
        <v>45730</v>
      </c>
      <c r="P25" t="s">
        <v>242</v>
      </c>
    </row>
    <row r="26" spans="1:16" x14ac:dyDescent="0.45">
      <c r="A26">
        <v>25</v>
      </c>
      <c r="B26" t="s">
        <v>65</v>
      </c>
      <c r="C26" s="2">
        <v>45733</v>
      </c>
      <c r="D26" t="s">
        <v>124</v>
      </c>
      <c r="E26">
        <v>22349</v>
      </c>
      <c r="F26">
        <v>29688</v>
      </c>
      <c r="G26" t="s">
        <v>24</v>
      </c>
      <c r="H26" t="s">
        <v>26</v>
      </c>
      <c r="I26" t="s">
        <v>126</v>
      </c>
      <c r="J26" t="s">
        <v>70</v>
      </c>
      <c r="K26" t="s">
        <v>111</v>
      </c>
      <c r="L26">
        <v>2</v>
      </c>
      <c r="M26">
        <v>2</v>
      </c>
      <c r="N26">
        <v>0</v>
      </c>
      <c r="O26" s="3">
        <v>45733</v>
      </c>
      <c r="P26" t="s">
        <v>242</v>
      </c>
    </row>
    <row r="27" spans="1:16" x14ac:dyDescent="0.45">
      <c r="A27">
        <v>26</v>
      </c>
      <c r="B27" t="s">
        <v>65</v>
      </c>
      <c r="C27" s="2">
        <v>45736</v>
      </c>
      <c r="D27" t="s">
        <v>128</v>
      </c>
      <c r="E27">
        <v>9282</v>
      </c>
      <c r="F27">
        <v>70087</v>
      </c>
      <c r="G27" t="s">
        <v>24</v>
      </c>
      <c r="H27" t="s">
        <v>26</v>
      </c>
      <c r="I27" t="s">
        <v>131</v>
      </c>
      <c r="J27" t="s">
        <v>70</v>
      </c>
      <c r="K27" t="s">
        <v>111</v>
      </c>
      <c r="L27">
        <v>2</v>
      </c>
      <c r="M27">
        <v>2</v>
      </c>
      <c r="N27">
        <v>0</v>
      </c>
      <c r="O27" s="3">
        <v>45736</v>
      </c>
      <c r="P27" t="s">
        <v>242</v>
      </c>
    </row>
    <row r="28" spans="1:16" x14ac:dyDescent="0.45">
      <c r="A28">
        <v>27</v>
      </c>
      <c r="B28" t="s">
        <v>65</v>
      </c>
      <c r="C28" s="2">
        <v>45739</v>
      </c>
      <c r="D28" t="s">
        <v>133</v>
      </c>
      <c r="E28">
        <v>24303</v>
      </c>
      <c r="F28">
        <v>29700</v>
      </c>
      <c r="G28" t="s">
        <v>24</v>
      </c>
      <c r="H28" t="s">
        <v>26</v>
      </c>
      <c r="I28" t="s">
        <v>135</v>
      </c>
      <c r="J28" t="s">
        <v>70</v>
      </c>
      <c r="K28" t="s">
        <v>111</v>
      </c>
      <c r="L28">
        <v>2</v>
      </c>
      <c r="M28">
        <v>2</v>
      </c>
      <c r="N28">
        <v>0</v>
      </c>
      <c r="O28" s="3">
        <v>45739</v>
      </c>
      <c r="P28" t="s">
        <v>242</v>
      </c>
    </row>
    <row r="29" spans="1:16" x14ac:dyDescent="0.45">
      <c r="A29">
        <v>28</v>
      </c>
      <c r="B29" t="s">
        <v>65</v>
      </c>
      <c r="C29" s="2">
        <v>45742</v>
      </c>
      <c r="D29" t="s">
        <v>137</v>
      </c>
      <c r="E29">
        <v>27816</v>
      </c>
      <c r="F29">
        <v>7230</v>
      </c>
      <c r="G29" t="s">
        <v>24</v>
      </c>
      <c r="H29" t="s">
        <v>26</v>
      </c>
      <c r="I29" t="s">
        <v>139</v>
      </c>
      <c r="J29" t="s">
        <v>70</v>
      </c>
      <c r="K29" t="s">
        <v>111</v>
      </c>
      <c r="L29">
        <v>2</v>
      </c>
      <c r="M29">
        <v>2</v>
      </c>
      <c r="N29">
        <v>0</v>
      </c>
      <c r="O29" s="3">
        <v>45742</v>
      </c>
      <c r="P29" t="s">
        <v>242</v>
      </c>
    </row>
    <row r="30" spans="1:16" x14ac:dyDescent="0.45">
      <c r="A30">
        <v>29</v>
      </c>
      <c r="B30" t="s">
        <v>65</v>
      </c>
      <c r="C30" s="2">
        <v>45745</v>
      </c>
      <c r="D30" t="s">
        <v>141</v>
      </c>
      <c r="E30">
        <v>71611</v>
      </c>
      <c r="F30">
        <v>65418</v>
      </c>
      <c r="G30" t="s">
        <v>24</v>
      </c>
      <c r="H30" t="s">
        <v>26</v>
      </c>
      <c r="I30" t="s">
        <v>143</v>
      </c>
      <c r="J30" t="s">
        <v>70</v>
      </c>
      <c r="K30" t="s">
        <v>111</v>
      </c>
      <c r="L30">
        <v>2</v>
      </c>
      <c r="M30">
        <v>2</v>
      </c>
      <c r="N30">
        <v>0</v>
      </c>
      <c r="O30" s="3">
        <v>45745</v>
      </c>
      <c r="P30" t="s">
        <v>242</v>
      </c>
    </row>
    <row r="31" spans="1:16" x14ac:dyDescent="0.45">
      <c r="A31">
        <v>30</v>
      </c>
      <c r="B31" t="s">
        <v>65</v>
      </c>
      <c r="C31" s="2">
        <v>45748</v>
      </c>
      <c r="D31" t="s">
        <v>145</v>
      </c>
      <c r="E31">
        <v>51383</v>
      </c>
      <c r="F31">
        <v>44000</v>
      </c>
      <c r="G31" t="s">
        <v>24</v>
      </c>
      <c r="H31" t="s">
        <v>26</v>
      </c>
      <c r="I31" t="s">
        <v>147</v>
      </c>
      <c r="J31" t="s">
        <v>70</v>
      </c>
      <c r="K31" t="s">
        <v>111</v>
      </c>
      <c r="L31">
        <v>2</v>
      </c>
      <c r="M31">
        <v>2</v>
      </c>
      <c r="N31">
        <v>0</v>
      </c>
      <c r="O31" s="3">
        <v>45748</v>
      </c>
      <c r="P31" t="s">
        <v>243</v>
      </c>
    </row>
    <row r="32" spans="1:16" x14ac:dyDescent="0.45">
      <c r="A32">
        <v>31</v>
      </c>
      <c r="B32" t="s">
        <v>65</v>
      </c>
      <c r="C32" s="2">
        <v>45751</v>
      </c>
      <c r="D32" t="s">
        <v>149</v>
      </c>
      <c r="E32">
        <v>52397</v>
      </c>
      <c r="F32">
        <v>37526</v>
      </c>
      <c r="G32" t="s">
        <v>151</v>
      </c>
      <c r="H32" t="s">
        <v>26</v>
      </c>
      <c r="I32" t="s">
        <v>152</v>
      </c>
      <c r="J32" t="s">
        <v>70</v>
      </c>
      <c r="K32" t="s">
        <v>111</v>
      </c>
      <c r="L32">
        <v>2</v>
      </c>
      <c r="M32">
        <v>2</v>
      </c>
      <c r="N32">
        <v>0</v>
      </c>
      <c r="O32" s="3">
        <v>45751</v>
      </c>
      <c r="P32" t="s">
        <v>243</v>
      </c>
    </row>
    <row r="33" spans="1:16" x14ac:dyDescent="0.45">
      <c r="A33">
        <v>32</v>
      </c>
      <c r="B33" t="s">
        <v>65</v>
      </c>
      <c r="C33" s="2">
        <v>45754</v>
      </c>
      <c r="D33" t="s">
        <v>154</v>
      </c>
      <c r="E33">
        <v>37630</v>
      </c>
      <c r="F33">
        <v>5275</v>
      </c>
      <c r="G33" t="s">
        <v>151</v>
      </c>
      <c r="H33" t="s">
        <v>26</v>
      </c>
      <c r="I33" t="s">
        <v>156</v>
      </c>
      <c r="J33" t="s">
        <v>70</v>
      </c>
      <c r="K33" t="s">
        <v>111</v>
      </c>
      <c r="L33">
        <v>2</v>
      </c>
      <c r="M33">
        <v>2</v>
      </c>
      <c r="N33">
        <v>0</v>
      </c>
      <c r="O33" s="3">
        <v>45754</v>
      </c>
      <c r="P33" t="s">
        <v>243</v>
      </c>
    </row>
    <row r="34" spans="1:16" x14ac:dyDescent="0.45">
      <c r="A34">
        <v>33</v>
      </c>
      <c r="B34" t="s">
        <v>65</v>
      </c>
      <c r="C34" s="2">
        <v>45757</v>
      </c>
      <c r="D34" t="s">
        <v>158</v>
      </c>
      <c r="E34">
        <v>12539</v>
      </c>
      <c r="F34">
        <v>3666</v>
      </c>
      <c r="G34" t="s">
        <v>151</v>
      </c>
      <c r="H34" t="s">
        <v>26</v>
      </c>
      <c r="I34" t="s">
        <v>160</v>
      </c>
      <c r="J34" t="s">
        <v>70</v>
      </c>
      <c r="K34" t="s">
        <v>111</v>
      </c>
      <c r="L34">
        <v>2</v>
      </c>
      <c r="M34">
        <v>2</v>
      </c>
      <c r="N34">
        <v>0</v>
      </c>
      <c r="O34" s="3">
        <v>45757</v>
      </c>
      <c r="P34" t="s">
        <v>243</v>
      </c>
    </row>
    <row r="35" spans="1:16" x14ac:dyDescent="0.45">
      <c r="A35">
        <v>34</v>
      </c>
      <c r="B35" t="s">
        <v>65</v>
      </c>
      <c r="C35" s="2">
        <v>45760</v>
      </c>
      <c r="D35" t="s">
        <v>162</v>
      </c>
      <c r="E35">
        <v>39637</v>
      </c>
      <c r="F35">
        <v>17187</v>
      </c>
      <c r="G35" t="s">
        <v>151</v>
      </c>
      <c r="H35" t="s">
        <v>26</v>
      </c>
      <c r="I35" t="s">
        <v>164</v>
      </c>
      <c r="J35" t="s">
        <v>70</v>
      </c>
      <c r="K35" t="s">
        <v>111</v>
      </c>
      <c r="L35">
        <v>2</v>
      </c>
      <c r="M35">
        <v>2</v>
      </c>
      <c r="N35">
        <v>0</v>
      </c>
      <c r="O35" s="3">
        <v>45760</v>
      </c>
      <c r="P35" t="s">
        <v>243</v>
      </c>
    </row>
    <row r="36" spans="1:16" x14ac:dyDescent="0.45">
      <c r="A36">
        <v>35</v>
      </c>
      <c r="B36" t="s">
        <v>65</v>
      </c>
      <c r="C36" s="2">
        <v>45763</v>
      </c>
      <c r="D36" t="s">
        <v>166</v>
      </c>
      <c r="E36">
        <v>44947</v>
      </c>
      <c r="F36">
        <v>61799</v>
      </c>
      <c r="G36" t="s">
        <v>151</v>
      </c>
      <c r="H36" t="s">
        <v>26</v>
      </c>
      <c r="I36" t="s">
        <v>168</v>
      </c>
      <c r="J36" t="s">
        <v>70</v>
      </c>
      <c r="K36" t="s">
        <v>111</v>
      </c>
      <c r="L36">
        <v>2</v>
      </c>
      <c r="M36">
        <v>2</v>
      </c>
      <c r="N36">
        <v>0</v>
      </c>
      <c r="O36" s="3">
        <v>45763</v>
      </c>
      <c r="P36" t="s">
        <v>243</v>
      </c>
    </row>
    <row r="37" spans="1:16" x14ac:dyDescent="0.45">
      <c r="A37">
        <v>36</v>
      </c>
      <c r="B37" t="s">
        <v>65</v>
      </c>
      <c r="C37" s="2">
        <v>45766</v>
      </c>
      <c r="D37" t="s">
        <v>170</v>
      </c>
      <c r="E37">
        <v>9675</v>
      </c>
      <c r="F37">
        <v>34349</v>
      </c>
      <c r="G37" t="s">
        <v>151</v>
      </c>
      <c r="H37" t="s">
        <v>26</v>
      </c>
      <c r="I37" t="s">
        <v>172</v>
      </c>
      <c r="J37" t="s">
        <v>70</v>
      </c>
      <c r="K37" t="s">
        <v>111</v>
      </c>
      <c r="L37">
        <v>2</v>
      </c>
      <c r="M37">
        <v>2</v>
      </c>
      <c r="N37">
        <v>0</v>
      </c>
      <c r="O37" s="3">
        <v>45766</v>
      </c>
      <c r="P37" t="s">
        <v>243</v>
      </c>
    </row>
    <row r="38" spans="1:16" x14ac:dyDescent="0.45">
      <c r="A38">
        <v>37</v>
      </c>
      <c r="B38" t="s">
        <v>65</v>
      </c>
      <c r="C38" s="2">
        <v>45769</v>
      </c>
      <c r="D38" t="s">
        <v>174</v>
      </c>
      <c r="E38">
        <v>32950</v>
      </c>
      <c r="F38">
        <v>53482</v>
      </c>
      <c r="G38" t="s">
        <v>151</v>
      </c>
      <c r="H38" t="s">
        <v>26</v>
      </c>
      <c r="I38" t="s">
        <v>176</v>
      </c>
      <c r="J38" t="s">
        <v>70</v>
      </c>
      <c r="K38" t="s">
        <v>111</v>
      </c>
      <c r="L38">
        <v>2</v>
      </c>
      <c r="M38">
        <v>2</v>
      </c>
      <c r="N38">
        <v>0</v>
      </c>
      <c r="O38" s="3">
        <v>45769</v>
      </c>
      <c r="P38" t="s">
        <v>243</v>
      </c>
    </row>
    <row r="39" spans="1:16" x14ac:dyDescent="0.45">
      <c r="A39">
        <v>38</v>
      </c>
      <c r="B39" t="s">
        <v>65</v>
      </c>
      <c r="C39" s="2">
        <v>45772</v>
      </c>
      <c r="D39" t="s">
        <v>178</v>
      </c>
      <c r="E39">
        <v>60626</v>
      </c>
      <c r="F39">
        <v>32562</v>
      </c>
      <c r="G39" t="s">
        <v>151</v>
      </c>
      <c r="H39" t="s">
        <v>26</v>
      </c>
      <c r="I39" t="s">
        <v>180</v>
      </c>
      <c r="J39" t="s">
        <v>70</v>
      </c>
      <c r="K39" t="s">
        <v>111</v>
      </c>
      <c r="L39">
        <v>2</v>
      </c>
      <c r="M39">
        <v>2</v>
      </c>
      <c r="N39">
        <v>0</v>
      </c>
      <c r="O39" s="3">
        <v>45772</v>
      </c>
      <c r="P39" t="s">
        <v>243</v>
      </c>
    </row>
    <row r="40" spans="1:16" x14ac:dyDescent="0.45">
      <c r="A40">
        <v>39</v>
      </c>
      <c r="B40" t="s">
        <v>65</v>
      </c>
      <c r="C40" s="2">
        <v>45775</v>
      </c>
      <c r="D40" t="s">
        <v>182</v>
      </c>
      <c r="E40">
        <v>8713</v>
      </c>
      <c r="F40">
        <v>78610</v>
      </c>
      <c r="G40" t="s">
        <v>151</v>
      </c>
      <c r="H40" t="s">
        <v>26</v>
      </c>
      <c r="I40" t="s">
        <v>184</v>
      </c>
      <c r="J40" t="s">
        <v>70</v>
      </c>
      <c r="K40" t="s">
        <v>111</v>
      </c>
      <c r="L40">
        <v>2</v>
      </c>
      <c r="M40">
        <v>2</v>
      </c>
      <c r="N40">
        <v>0</v>
      </c>
      <c r="O40" s="3">
        <v>45775</v>
      </c>
      <c r="P40" t="s">
        <v>243</v>
      </c>
    </row>
    <row r="41" spans="1:16" x14ac:dyDescent="0.45">
      <c r="A41">
        <v>40</v>
      </c>
      <c r="B41" t="s">
        <v>65</v>
      </c>
      <c r="C41" s="2">
        <v>45778</v>
      </c>
      <c r="D41" t="s">
        <v>186</v>
      </c>
      <c r="E41">
        <v>76334</v>
      </c>
      <c r="F41">
        <v>66187</v>
      </c>
      <c r="G41" t="s">
        <v>151</v>
      </c>
      <c r="H41" t="s">
        <v>26</v>
      </c>
      <c r="I41" t="s">
        <v>188</v>
      </c>
      <c r="J41" t="s">
        <v>70</v>
      </c>
      <c r="K41" t="s">
        <v>111</v>
      </c>
      <c r="L41">
        <v>2</v>
      </c>
      <c r="M41">
        <v>2</v>
      </c>
      <c r="N41">
        <v>0</v>
      </c>
      <c r="O41" s="3">
        <v>45778</v>
      </c>
      <c r="P41" t="s">
        <v>244</v>
      </c>
    </row>
    <row r="42" spans="1:16" x14ac:dyDescent="0.45">
      <c r="A42">
        <v>41</v>
      </c>
      <c r="B42" t="s">
        <v>65</v>
      </c>
      <c r="C42" s="2">
        <v>45781</v>
      </c>
      <c r="D42" t="s">
        <v>190</v>
      </c>
      <c r="E42">
        <v>51280</v>
      </c>
      <c r="F42">
        <v>2825</v>
      </c>
      <c r="G42" t="s">
        <v>192</v>
      </c>
      <c r="H42" t="s">
        <v>26</v>
      </c>
      <c r="I42" t="s">
        <v>194</v>
      </c>
      <c r="J42" t="s">
        <v>70</v>
      </c>
      <c r="K42" t="s">
        <v>111</v>
      </c>
      <c r="L42">
        <v>2</v>
      </c>
      <c r="M42">
        <v>2</v>
      </c>
      <c r="N42">
        <v>0.5</v>
      </c>
      <c r="O42" s="3">
        <v>45781</v>
      </c>
      <c r="P42" t="s">
        <v>244</v>
      </c>
    </row>
    <row r="43" spans="1:16" x14ac:dyDescent="0.45">
      <c r="A43">
        <v>42</v>
      </c>
      <c r="B43" t="s">
        <v>65</v>
      </c>
      <c r="C43" s="2">
        <v>45784</v>
      </c>
      <c r="D43" t="s">
        <v>196</v>
      </c>
      <c r="E43">
        <v>69002</v>
      </c>
      <c r="F43">
        <v>12520</v>
      </c>
      <c r="G43" t="s">
        <v>192</v>
      </c>
      <c r="H43" t="s">
        <v>26</v>
      </c>
      <c r="I43" t="s">
        <v>198</v>
      </c>
      <c r="J43" t="s">
        <v>70</v>
      </c>
      <c r="K43" t="s">
        <v>111</v>
      </c>
      <c r="L43">
        <v>2</v>
      </c>
      <c r="M43">
        <v>2</v>
      </c>
      <c r="N43">
        <v>0.5</v>
      </c>
      <c r="O43" s="3">
        <v>45784</v>
      </c>
      <c r="P43" t="s">
        <v>244</v>
      </c>
    </row>
    <row r="44" spans="1:16" x14ac:dyDescent="0.45">
      <c r="A44">
        <v>43</v>
      </c>
      <c r="B44" t="s">
        <v>65</v>
      </c>
      <c r="C44" s="2">
        <v>45787</v>
      </c>
      <c r="D44" t="s">
        <v>200</v>
      </c>
      <c r="E44">
        <v>4252</v>
      </c>
      <c r="F44">
        <v>55480</v>
      </c>
      <c r="G44" t="s">
        <v>192</v>
      </c>
      <c r="H44" t="s">
        <v>26</v>
      </c>
      <c r="I44" t="s">
        <v>202</v>
      </c>
      <c r="J44" t="s">
        <v>70</v>
      </c>
      <c r="K44" t="s">
        <v>111</v>
      </c>
      <c r="L44">
        <v>2</v>
      </c>
      <c r="M44">
        <v>2</v>
      </c>
      <c r="N44">
        <v>0.5</v>
      </c>
      <c r="O44" s="3">
        <v>45787</v>
      </c>
      <c r="P44" t="s">
        <v>244</v>
      </c>
    </row>
    <row r="45" spans="1:16" x14ac:dyDescent="0.45">
      <c r="A45">
        <v>44</v>
      </c>
      <c r="B45" t="s">
        <v>65</v>
      </c>
      <c r="C45" s="2">
        <v>45790</v>
      </c>
      <c r="D45" t="s">
        <v>204</v>
      </c>
      <c r="E45">
        <v>76467</v>
      </c>
      <c r="F45">
        <v>8557</v>
      </c>
      <c r="G45" t="s">
        <v>192</v>
      </c>
      <c r="H45" t="s">
        <v>26</v>
      </c>
      <c r="I45" t="s">
        <v>206</v>
      </c>
      <c r="J45" t="s">
        <v>70</v>
      </c>
      <c r="K45" t="s">
        <v>111</v>
      </c>
      <c r="L45">
        <v>2</v>
      </c>
      <c r="M45">
        <v>2</v>
      </c>
      <c r="N45">
        <v>0.5</v>
      </c>
      <c r="O45" s="3">
        <v>45790</v>
      </c>
      <c r="P45" t="s">
        <v>244</v>
      </c>
    </row>
    <row r="46" spans="1:16" x14ac:dyDescent="0.45">
      <c r="A46">
        <v>45</v>
      </c>
      <c r="B46" t="s">
        <v>65</v>
      </c>
      <c r="C46" s="2">
        <v>45793</v>
      </c>
      <c r="D46" t="s">
        <v>208</v>
      </c>
      <c r="E46">
        <v>32394</v>
      </c>
      <c r="F46">
        <v>41679</v>
      </c>
      <c r="G46" t="s">
        <v>192</v>
      </c>
      <c r="H46" t="s">
        <v>26</v>
      </c>
      <c r="I46" t="s">
        <v>210</v>
      </c>
      <c r="J46" t="s">
        <v>70</v>
      </c>
      <c r="K46" t="s">
        <v>111</v>
      </c>
      <c r="L46">
        <v>2</v>
      </c>
      <c r="M46">
        <v>2</v>
      </c>
      <c r="N46">
        <v>0.5</v>
      </c>
      <c r="O46" s="3">
        <v>45793</v>
      </c>
      <c r="P46" t="s">
        <v>244</v>
      </c>
    </row>
    <row r="47" spans="1:16" x14ac:dyDescent="0.45">
      <c r="A47">
        <v>46</v>
      </c>
      <c r="B47" t="s">
        <v>65</v>
      </c>
      <c r="C47" s="2">
        <v>45796</v>
      </c>
      <c r="D47" t="s">
        <v>212</v>
      </c>
      <c r="E47">
        <v>58621</v>
      </c>
      <c r="F47">
        <v>40982</v>
      </c>
      <c r="G47" t="s">
        <v>192</v>
      </c>
      <c r="H47" t="s">
        <v>214</v>
      </c>
      <c r="I47" t="s">
        <v>215</v>
      </c>
      <c r="J47" t="s">
        <v>217</v>
      </c>
      <c r="L47">
        <v>2</v>
      </c>
      <c r="M47">
        <v>2</v>
      </c>
      <c r="N47">
        <v>0.5</v>
      </c>
      <c r="O47" s="3">
        <v>45796</v>
      </c>
      <c r="P47" t="s">
        <v>244</v>
      </c>
    </row>
    <row r="48" spans="1:16" x14ac:dyDescent="0.45">
      <c r="A48">
        <v>47</v>
      </c>
      <c r="B48" t="s">
        <v>65</v>
      </c>
      <c r="C48" s="2">
        <v>45799</v>
      </c>
      <c r="D48" t="s">
        <v>218</v>
      </c>
      <c r="E48">
        <v>20681</v>
      </c>
      <c r="F48">
        <v>13900</v>
      </c>
      <c r="G48" t="s">
        <v>192</v>
      </c>
      <c r="H48" t="s">
        <v>214</v>
      </c>
      <c r="I48" t="s">
        <v>220</v>
      </c>
      <c r="J48" t="s">
        <v>217</v>
      </c>
      <c r="L48">
        <v>2</v>
      </c>
      <c r="M48">
        <v>2</v>
      </c>
      <c r="N48">
        <v>0.5</v>
      </c>
      <c r="O48" s="3">
        <v>45799</v>
      </c>
      <c r="P48" t="s">
        <v>244</v>
      </c>
    </row>
    <row r="49" spans="1:16" x14ac:dyDescent="0.45">
      <c r="A49">
        <v>48</v>
      </c>
      <c r="B49" t="s">
        <v>65</v>
      </c>
      <c r="C49" s="2">
        <v>45802</v>
      </c>
      <c r="D49" t="s">
        <v>222</v>
      </c>
      <c r="E49">
        <v>1819</v>
      </c>
      <c r="F49">
        <v>64721</v>
      </c>
      <c r="G49" t="s">
        <v>192</v>
      </c>
      <c r="H49" t="s">
        <v>214</v>
      </c>
      <c r="I49" t="s">
        <v>224</v>
      </c>
      <c r="J49" t="s">
        <v>217</v>
      </c>
      <c r="L49">
        <v>2</v>
      </c>
      <c r="M49">
        <v>2</v>
      </c>
      <c r="N49">
        <v>0.5</v>
      </c>
      <c r="O49" s="3">
        <v>45802</v>
      </c>
      <c r="P49" t="s">
        <v>244</v>
      </c>
    </row>
    <row r="50" spans="1:16" x14ac:dyDescent="0.45">
      <c r="A50">
        <v>49</v>
      </c>
      <c r="B50" t="s">
        <v>65</v>
      </c>
      <c r="C50" s="2">
        <v>45805</v>
      </c>
      <c r="D50" t="s">
        <v>226</v>
      </c>
      <c r="E50">
        <v>6017</v>
      </c>
      <c r="F50">
        <v>69038</v>
      </c>
      <c r="G50" t="s">
        <v>192</v>
      </c>
      <c r="H50" t="s">
        <v>228</v>
      </c>
      <c r="I50" t="s">
        <v>229</v>
      </c>
      <c r="J50" t="s">
        <v>217</v>
      </c>
      <c r="L50">
        <v>2</v>
      </c>
      <c r="M50">
        <v>2</v>
      </c>
      <c r="N50">
        <v>0.5</v>
      </c>
      <c r="O50" s="3">
        <v>45805</v>
      </c>
      <c r="P50" t="s">
        <v>244</v>
      </c>
    </row>
    <row r="51" spans="1:16" x14ac:dyDescent="0.45">
      <c r="A51">
        <v>50</v>
      </c>
      <c r="B51" t="s">
        <v>65</v>
      </c>
      <c r="C51" s="2">
        <v>45808</v>
      </c>
      <c r="D51" t="s">
        <v>231</v>
      </c>
      <c r="E51">
        <v>3659</v>
      </c>
      <c r="F51">
        <v>30753</v>
      </c>
      <c r="G51" t="s">
        <v>192</v>
      </c>
      <c r="H51" t="s">
        <v>228</v>
      </c>
      <c r="I51" t="s">
        <v>233</v>
      </c>
      <c r="J51" t="s">
        <v>217</v>
      </c>
      <c r="L51">
        <v>2</v>
      </c>
      <c r="M51">
        <v>2</v>
      </c>
      <c r="N51">
        <v>0.5</v>
      </c>
      <c r="O51" s="3">
        <v>45808</v>
      </c>
      <c r="P51" t="s">
        <v>244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51"/>
  <sheetViews>
    <sheetView workbookViewId="0"/>
  </sheetViews>
  <sheetFormatPr defaultRowHeight="14.25" x14ac:dyDescent="0.45"/>
  <sheetData>
    <row r="1" spans="1:16" x14ac:dyDescent="0.45">
      <c r="A1" s="1" t="s">
        <v>3</v>
      </c>
      <c r="B1" s="1" t="s">
        <v>1</v>
      </c>
      <c r="C1" s="1" t="s">
        <v>238</v>
      </c>
      <c r="D1" s="1" t="s">
        <v>5</v>
      </c>
      <c r="E1" s="1" t="s">
        <v>6</v>
      </c>
      <c r="F1" s="1" t="s">
        <v>235</v>
      </c>
      <c r="G1" s="1" t="s">
        <v>236</v>
      </c>
      <c r="H1" s="1" t="s">
        <v>237</v>
      </c>
      <c r="I1" s="1" t="s">
        <v>245</v>
      </c>
      <c r="J1" s="1" t="s">
        <v>246</v>
      </c>
      <c r="K1" s="1" t="s">
        <v>247</v>
      </c>
      <c r="L1" s="1" t="s">
        <v>248</v>
      </c>
      <c r="M1" s="1" t="s">
        <v>249</v>
      </c>
      <c r="N1" s="1" t="s">
        <v>250</v>
      </c>
      <c r="O1" s="1" t="s">
        <v>9</v>
      </c>
      <c r="P1" s="1" t="s">
        <v>14</v>
      </c>
    </row>
    <row r="2" spans="1:16" x14ac:dyDescent="0.45">
      <c r="A2" t="s">
        <v>22</v>
      </c>
      <c r="B2" t="s">
        <v>21</v>
      </c>
      <c r="C2" s="3">
        <v>45661</v>
      </c>
      <c r="D2">
        <v>45468</v>
      </c>
      <c r="E2" s="4">
        <v>3755</v>
      </c>
      <c r="F2" s="4">
        <v>2</v>
      </c>
      <c r="G2">
        <v>2</v>
      </c>
      <c r="H2">
        <v>0</v>
      </c>
      <c r="I2" s="4">
        <v>0</v>
      </c>
      <c r="J2" s="4">
        <v>2</v>
      </c>
      <c r="K2" s="4">
        <v>2</v>
      </c>
      <c r="L2" s="4">
        <v>-41713</v>
      </c>
      <c r="M2" s="4">
        <v>45466</v>
      </c>
      <c r="N2" s="4">
        <v>2</v>
      </c>
      <c r="O2" t="s">
        <v>26</v>
      </c>
    </row>
    <row r="3" spans="1:16" x14ac:dyDescent="0.45">
      <c r="A3" t="s">
        <v>32</v>
      </c>
      <c r="B3" t="s">
        <v>21</v>
      </c>
      <c r="C3" s="3">
        <v>45664</v>
      </c>
      <c r="D3">
        <v>23917</v>
      </c>
      <c r="E3" s="4">
        <v>21902</v>
      </c>
      <c r="F3" s="4">
        <v>2</v>
      </c>
      <c r="G3">
        <v>2</v>
      </c>
      <c r="H3">
        <v>0</v>
      </c>
      <c r="I3" s="4">
        <v>0</v>
      </c>
      <c r="J3" s="4">
        <v>2</v>
      </c>
      <c r="K3" s="4">
        <v>2</v>
      </c>
      <c r="L3" s="4">
        <v>-2015</v>
      </c>
      <c r="M3" s="4">
        <v>23915</v>
      </c>
      <c r="N3" s="4">
        <v>2</v>
      </c>
      <c r="O3" t="s">
        <v>26</v>
      </c>
    </row>
    <row r="4" spans="1:16" x14ac:dyDescent="0.45">
      <c r="A4" t="s">
        <v>36</v>
      </c>
      <c r="B4" t="s">
        <v>21</v>
      </c>
      <c r="C4" s="3">
        <v>45667</v>
      </c>
      <c r="D4">
        <v>46047</v>
      </c>
      <c r="E4" s="4">
        <v>61826</v>
      </c>
      <c r="F4" s="4">
        <v>2</v>
      </c>
      <c r="G4">
        <v>2</v>
      </c>
      <c r="H4">
        <v>0</v>
      </c>
      <c r="I4" s="4">
        <v>0</v>
      </c>
      <c r="J4" s="4">
        <v>2</v>
      </c>
      <c r="K4" s="4">
        <v>2</v>
      </c>
      <c r="L4" s="4">
        <v>15779</v>
      </c>
      <c r="M4" s="4">
        <v>46045</v>
      </c>
      <c r="N4" s="4">
        <v>2</v>
      </c>
      <c r="O4" t="s">
        <v>26</v>
      </c>
    </row>
    <row r="5" spans="1:16" x14ac:dyDescent="0.45">
      <c r="A5" t="s">
        <v>40</v>
      </c>
      <c r="B5" t="s">
        <v>21</v>
      </c>
      <c r="C5" s="3">
        <v>45670</v>
      </c>
      <c r="D5">
        <v>31251</v>
      </c>
      <c r="E5" s="4">
        <v>58107</v>
      </c>
      <c r="F5" s="4">
        <v>2</v>
      </c>
      <c r="G5">
        <v>2</v>
      </c>
      <c r="H5">
        <v>0</v>
      </c>
      <c r="I5" s="4">
        <v>0</v>
      </c>
      <c r="J5" s="4">
        <v>2</v>
      </c>
      <c r="K5" s="4">
        <v>2</v>
      </c>
      <c r="L5" s="4">
        <v>26856</v>
      </c>
      <c r="M5" s="4">
        <v>31249</v>
      </c>
      <c r="N5" s="4">
        <v>2</v>
      </c>
      <c r="O5" t="s">
        <v>26</v>
      </c>
    </row>
    <row r="6" spans="1:16" x14ac:dyDescent="0.45">
      <c r="A6" t="s">
        <v>44</v>
      </c>
      <c r="B6" t="s">
        <v>21</v>
      </c>
      <c r="C6" s="3">
        <v>45673</v>
      </c>
      <c r="D6">
        <v>8734</v>
      </c>
      <c r="E6" s="4">
        <v>41176</v>
      </c>
      <c r="F6" s="4">
        <v>2</v>
      </c>
      <c r="G6">
        <v>2</v>
      </c>
      <c r="H6">
        <v>0</v>
      </c>
      <c r="I6" s="4">
        <v>0</v>
      </c>
      <c r="J6" s="4">
        <v>2</v>
      </c>
      <c r="K6" s="4">
        <v>2</v>
      </c>
      <c r="L6" s="4">
        <v>32442</v>
      </c>
      <c r="M6" s="4">
        <v>8732</v>
      </c>
      <c r="N6" s="4">
        <v>2</v>
      </c>
      <c r="O6" t="s">
        <v>26</v>
      </c>
    </row>
    <row r="7" spans="1:16" x14ac:dyDescent="0.45">
      <c r="A7" t="s">
        <v>48</v>
      </c>
      <c r="B7" t="s">
        <v>21</v>
      </c>
      <c r="C7" s="3">
        <v>45676</v>
      </c>
      <c r="D7">
        <v>75660</v>
      </c>
      <c r="E7" s="4">
        <v>54338</v>
      </c>
      <c r="F7" s="4">
        <v>2</v>
      </c>
      <c r="G7">
        <v>2</v>
      </c>
      <c r="H7">
        <v>0</v>
      </c>
      <c r="I7" s="4">
        <v>0</v>
      </c>
      <c r="J7" s="4">
        <v>2</v>
      </c>
      <c r="K7" s="4">
        <v>2</v>
      </c>
      <c r="L7" s="4">
        <v>-21322</v>
      </c>
      <c r="M7" s="4">
        <v>75658</v>
      </c>
      <c r="N7" s="4">
        <v>2</v>
      </c>
      <c r="O7" t="s">
        <v>26</v>
      </c>
    </row>
    <row r="8" spans="1:16" x14ac:dyDescent="0.45">
      <c r="A8" t="s">
        <v>51</v>
      </c>
      <c r="B8" t="s">
        <v>21</v>
      </c>
      <c r="C8" s="3">
        <v>45679</v>
      </c>
      <c r="D8">
        <v>21172</v>
      </c>
      <c r="E8" s="4">
        <v>43404</v>
      </c>
      <c r="F8" s="4">
        <v>2</v>
      </c>
      <c r="G8">
        <v>2</v>
      </c>
      <c r="H8">
        <v>0</v>
      </c>
      <c r="I8" s="4">
        <v>0</v>
      </c>
      <c r="J8" s="4">
        <v>2</v>
      </c>
      <c r="K8" s="4">
        <v>2</v>
      </c>
      <c r="L8" s="4">
        <v>22232</v>
      </c>
      <c r="M8" s="4">
        <v>21170</v>
      </c>
      <c r="N8" s="4">
        <v>2</v>
      </c>
      <c r="O8" t="s">
        <v>26</v>
      </c>
    </row>
    <row r="9" spans="1:16" x14ac:dyDescent="0.45">
      <c r="A9" t="s">
        <v>55</v>
      </c>
      <c r="B9" t="s">
        <v>54</v>
      </c>
      <c r="C9" s="3">
        <v>45682</v>
      </c>
      <c r="D9">
        <v>50911</v>
      </c>
      <c r="E9" s="4">
        <v>51585</v>
      </c>
      <c r="F9" s="4">
        <v>2</v>
      </c>
      <c r="G9">
        <v>2</v>
      </c>
      <c r="H9">
        <v>0</v>
      </c>
      <c r="I9" s="4">
        <v>0</v>
      </c>
      <c r="J9" s="4">
        <v>2</v>
      </c>
      <c r="K9" s="4">
        <v>2</v>
      </c>
      <c r="L9" s="4">
        <v>674</v>
      </c>
      <c r="M9" s="4">
        <v>50909</v>
      </c>
      <c r="N9" s="4">
        <v>2</v>
      </c>
      <c r="O9" t="s">
        <v>26</v>
      </c>
    </row>
    <row r="10" spans="1:16" x14ac:dyDescent="0.45">
      <c r="A10" t="s">
        <v>58</v>
      </c>
      <c r="B10" t="s">
        <v>54</v>
      </c>
      <c r="C10" s="3">
        <v>45685</v>
      </c>
      <c r="D10">
        <v>39497</v>
      </c>
      <c r="E10" s="4">
        <v>22320</v>
      </c>
      <c r="F10" s="4">
        <v>2</v>
      </c>
      <c r="G10">
        <v>2</v>
      </c>
      <c r="H10">
        <v>0</v>
      </c>
      <c r="I10" s="4">
        <v>0</v>
      </c>
      <c r="J10" s="4">
        <v>2</v>
      </c>
      <c r="K10" s="4">
        <v>2</v>
      </c>
      <c r="L10" s="4">
        <v>-17177</v>
      </c>
      <c r="M10" s="4">
        <v>39495</v>
      </c>
      <c r="N10" s="4">
        <v>2</v>
      </c>
      <c r="O10" t="s">
        <v>26</v>
      </c>
    </row>
    <row r="11" spans="1:16" x14ac:dyDescent="0.45">
      <c r="A11" t="s">
        <v>61</v>
      </c>
      <c r="B11" t="s">
        <v>54</v>
      </c>
      <c r="C11" s="3">
        <v>45688</v>
      </c>
      <c r="D11">
        <v>79174</v>
      </c>
      <c r="E11" s="4">
        <v>52377</v>
      </c>
      <c r="F11" s="4">
        <v>2</v>
      </c>
      <c r="G11">
        <v>2</v>
      </c>
      <c r="H11">
        <v>0</v>
      </c>
      <c r="I11" s="4">
        <v>0</v>
      </c>
      <c r="J11" s="4">
        <v>2</v>
      </c>
      <c r="K11" s="4">
        <v>2</v>
      </c>
      <c r="L11" s="4">
        <v>-26797</v>
      </c>
      <c r="M11" s="4">
        <v>79172</v>
      </c>
      <c r="N11" s="4">
        <v>2</v>
      </c>
      <c r="O11" t="s">
        <v>26</v>
      </c>
    </row>
    <row r="12" spans="1:16" x14ac:dyDescent="0.45">
      <c r="A12" t="s">
        <v>66</v>
      </c>
      <c r="B12" t="s">
        <v>65</v>
      </c>
      <c r="C12" s="3">
        <v>45691</v>
      </c>
      <c r="D12">
        <v>29724</v>
      </c>
      <c r="E12" s="4">
        <v>16300</v>
      </c>
      <c r="F12" s="4">
        <v>2</v>
      </c>
      <c r="G12">
        <v>2</v>
      </c>
      <c r="H12">
        <v>0</v>
      </c>
      <c r="I12" s="4">
        <v>0</v>
      </c>
      <c r="J12" s="4">
        <v>2</v>
      </c>
      <c r="K12" s="4">
        <v>2</v>
      </c>
      <c r="L12" s="4">
        <v>-13424</v>
      </c>
      <c r="M12" s="4">
        <v>29722</v>
      </c>
      <c r="N12" s="4">
        <v>2</v>
      </c>
      <c r="O12" t="s">
        <v>26</v>
      </c>
    </row>
    <row r="13" spans="1:16" x14ac:dyDescent="0.45">
      <c r="A13" t="s">
        <v>71</v>
      </c>
      <c r="B13" t="s">
        <v>65</v>
      </c>
      <c r="C13" s="3">
        <v>45694</v>
      </c>
      <c r="D13">
        <v>10003</v>
      </c>
      <c r="E13" s="4">
        <v>60998</v>
      </c>
      <c r="F13" s="4">
        <v>2</v>
      </c>
      <c r="G13">
        <v>2</v>
      </c>
      <c r="H13">
        <v>0</v>
      </c>
      <c r="I13" s="4">
        <v>0</v>
      </c>
      <c r="J13" s="4">
        <v>2</v>
      </c>
      <c r="K13" s="4">
        <v>2</v>
      </c>
      <c r="L13" s="4">
        <v>50995</v>
      </c>
      <c r="M13" s="4">
        <v>10001</v>
      </c>
      <c r="N13" s="4">
        <v>2</v>
      </c>
      <c r="O13" t="s">
        <v>26</v>
      </c>
    </row>
    <row r="14" spans="1:16" x14ac:dyDescent="0.45">
      <c r="A14" t="s">
        <v>75</v>
      </c>
      <c r="B14" t="s">
        <v>65</v>
      </c>
      <c r="C14" s="3">
        <v>45697</v>
      </c>
      <c r="D14">
        <v>44009</v>
      </c>
      <c r="E14" s="4">
        <v>64659</v>
      </c>
      <c r="F14" s="4">
        <v>2</v>
      </c>
      <c r="G14">
        <v>2</v>
      </c>
      <c r="H14">
        <v>0</v>
      </c>
      <c r="I14" s="4">
        <v>0</v>
      </c>
      <c r="J14" s="4">
        <v>2</v>
      </c>
      <c r="K14" s="4">
        <v>2</v>
      </c>
      <c r="L14" s="4">
        <v>20650</v>
      </c>
      <c r="M14" s="4">
        <v>44007</v>
      </c>
      <c r="N14" s="4">
        <v>2</v>
      </c>
      <c r="O14" t="s">
        <v>26</v>
      </c>
    </row>
    <row r="15" spans="1:16" x14ac:dyDescent="0.45">
      <c r="A15" t="s">
        <v>79</v>
      </c>
      <c r="B15" t="s">
        <v>65</v>
      </c>
      <c r="C15" s="3">
        <v>45700</v>
      </c>
      <c r="D15">
        <v>17499</v>
      </c>
      <c r="E15" s="4">
        <v>17839</v>
      </c>
      <c r="F15" s="4">
        <v>2</v>
      </c>
      <c r="G15">
        <v>2</v>
      </c>
      <c r="H15">
        <v>0</v>
      </c>
      <c r="I15" s="4">
        <v>0</v>
      </c>
      <c r="J15" s="4">
        <v>2</v>
      </c>
      <c r="K15" s="4">
        <v>2</v>
      </c>
      <c r="L15" s="4">
        <v>340</v>
      </c>
      <c r="M15" s="4">
        <v>17497</v>
      </c>
      <c r="N15" s="4">
        <v>2</v>
      </c>
      <c r="O15" t="s">
        <v>26</v>
      </c>
    </row>
    <row r="16" spans="1:16" x14ac:dyDescent="0.45">
      <c r="A16" t="s">
        <v>83</v>
      </c>
      <c r="B16" t="s">
        <v>65</v>
      </c>
      <c r="C16" s="3">
        <v>45703</v>
      </c>
      <c r="D16">
        <v>63845</v>
      </c>
      <c r="E16" s="4">
        <v>22976</v>
      </c>
      <c r="F16" s="4">
        <v>2</v>
      </c>
      <c r="G16">
        <v>2</v>
      </c>
      <c r="H16">
        <v>0</v>
      </c>
      <c r="I16" s="4">
        <v>0</v>
      </c>
      <c r="J16" s="4">
        <v>2</v>
      </c>
      <c r="K16" s="4">
        <v>2</v>
      </c>
      <c r="L16" s="4">
        <v>-40869</v>
      </c>
      <c r="M16" s="4">
        <v>63843</v>
      </c>
      <c r="N16" s="4">
        <v>2</v>
      </c>
      <c r="O16" t="s">
        <v>26</v>
      </c>
    </row>
    <row r="17" spans="1:16" x14ac:dyDescent="0.45">
      <c r="A17" t="s">
        <v>87</v>
      </c>
      <c r="B17" t="s">
        <v>65</v>
      </c>
      <c r="C17" s="3">
        <v>45706</v>
      </c>
      <c r="D17">
        <v>27595</v>
      </c>
      <c r="E17" s="4">
        <v>33889</v>
      </c>
      <c r="F17" s="4">
        <v>2</v>
      </c>
      <c r="G17">
        <v>2</v>
      </c>
      <c r="H17">
        <v>0</v>
      </c>
      <c r="I17" s="4">
        <v>0</v>
      </c>
      <c r="J17" s="4">
        <v>2</v>
      </c>
      <c r="K17" s="4">
        <v>2</v>
      </c>
      <c r="L17" s="4">
        <v>6294</v>
      </c>
      <c r="M17" s="4">
        <v>27593</v>
      </c>
      <c r="N17" s="4">
        <v>2</v>
      </c>
      <c r="O17" t="s">
        <v>26</v>
      </c>
      <c r="P17" t="s">
        <v>228</v>
      </c>
    </row>
    <row r="18" spans="1:16" x14ac:dyDescent="0.45">
      <c r="A18" t="s">
        <v>91</v>
      </c>
      <c r="B18" t="s">
        <v>65</v>
      </c>
      <c r="C18" s="3">
        <v>45709</v>
      </c>
      <c r="D18">
        <v>6438</v>
      </c>
      <c r="E18" s="4">
        <v>65465</v>
      </c>
      <c r="F18" s="4">
        <v>2</v>
      </c>
      <c r="G18">
        <v>2</v>
      </c>
      <c r="H18">
        <v>0</v>
      </c>
      <c r="I18" s="4">
        <v>0</v>
      </c>
      <c r="J18" s="4">
        <v>2</v>
      </c>
      <c r="K18" s="4">
        <v>2</v>
      </c>
      <c r="L18" s="4">
        <v>59027</v>
      </c>
      <c r="M18" s="4">
        <v>6436</v>
      </c>
      <c r="N18" s="4">
        <v>2</v>
      </c>
      <c r="O18" t="s">
        <v>26</v>
      </c>
      <c r="P18" t="s">
        <v>228</v>
      </c>
    </row>
    <row r="19" spans="1:16" x14ac:dyDescent="0.45">
      <c r="A19" t="s">
        <v>95</v>
      </c>
      <c r="B19" t="s">
        <v>65</v>
      </c>
      <c r="C19" s="3">
        <v>45712</v>
      </c>
      <c r="D19">
        <v>17329</v>
      </c>
      <c r="E19" s="4">
        <v>34206</v>
      </c>
      <c r="F19" s="4">
        <v>2</v>
      </c>
      <c r="G19">
        <v>2</v>
      </c>
      <c r="H19">
        <v>0</v>
      </c>
      <c r="I19" s="4">
        <v>0</v>
      </c>
      <c r="J19" s="4">
        <v>2</v>
      </c>
      <c r="K19" s="4">
        <v>2</v>
      </c>
      <c r="L19" s="4">
        <v>16877</v>
      </c>
      <c r="M19" s="4">
        <v>17327</v>
      </c>
      <c r="N19" s="4">
        <v>2</v>
      </c>
      <c r="O19" t="s">
        <v>26</v>
      </c>
      <c r="P19" t="s">
        <v>228</v>
      </c>
    </row>
    <row r="20" spans="1:16" x14ac:dyDescent="0.45">
      <c r="A20" t="s">
        <v>99</v>
      </c>
      <c r="B20" t="s">
        <v>65</v>
      </c>
      <c r="C20" s="3">
        <v>45715</v>
      </c>
      <c r="D20">
        <v>57199</v>
      </c>
      <c r="E20" s="4">
        <v>19562</v>
      </c>
      <c r="F20" s="4">
        <v>2</v>
      </c>
      <c r="G20">
        <v>2</v>
      </c>
      <c r="H20">
        <v>0</v>
      </c>
      <c r="I20" s="4">
        <v>0</v>
      </c>
      <c r="J20" s="4">
        <v>2</v>
      </c>
      <c r="K20" s="4">
        <v>2</v>
      </c>
      <c r="L20" s="4">
        <v>-37637</v>
      </c>
      <c r="M20" s="4">
        <v>57197</v>
      </c>
      <c r="N20" s="4">
        <v>2</v>
      </c>
      <c r="O20" t="s">
        <v>26</v>
      </c>
      <c r="P20" t="s">
        <v>228</v>
      </c>
    </row>
    <row r="21" spans="1:16" x14ac:dyDescent="0.45">
      <c r="A21" t="s">
        <v>103</v>
      </c>
      <c r="B21" t="s">
        <v>65</v>
      </c>
      <c r="C21" s="3">
        <v>45718</v>
      </c>
      <c r="D21">
        <v>46470</v>
      </c>
      <c r="E21" s="4">
        <v>75818</v>
      </c>
      <c r="F21" s="4">
        <v>2</v>
      </c>
      <c r="G21">
        <v>2</v>
      </c>
      <c r="H21">
        <v>0</v>
      </c>
      <c r="I21" s="4">
        <v>0</v>
      </c>
      <c r="J21" s="4">
        <v>2</v>
      </c>
      <c r="K21" s="4">
        <v>2</v>
      </c>
      <c r="L21" s="4">
        <v>29348</v>
      </c>
      <c r="M21" s="4">
        <v>46468</v>
      </c>
      <c r="N21" s="4">
        <v>2</v>
      </c>
      <c r="O21" t="s">
        <v>26</v>
      </c>
    </row>
    <row r="22" spans="1:16" x14ac:dyDescent="0.45">
      <c r="A22" t="s">
        <v>107</v>
      </c>
      <c r="B22" t="s">
        <v>65</v>
      </c>
      <c r="C22" s="3">
        <v>45721</v>
      </c>
      <c r="D22">
        <v>53388</v>
      </c>
      <c r="E22" s="4">
        <v>38252</v>
      </c>
      <c r="F22" s="4">
        <v>2</v>
      </c>
      <c r="G22">
        <v>2</v>
      </c>
      <c r="H22">
        <v>0</v>
      </c>
      <c r="I22" s="4">
        <v>0</v>
      </c>
      <c r="J22" s="4">
        <v>2</v>
      </c>
      <c r="K22" s="4">
        <v>2</v>
      </c>
      <c r="L22" s="4">
        <v>-15136</v>
      </c>
      <c r="M22" s="4">
        <v>53386</v>
      </c>
      <c r="N22" s="4">
        <v>2</v>
      </c>
      <c r="O22" t="s">
        <v>26</v>
      </c>
      <c r="P22" t="s">
        <v>111</v>
      </c>
    </row>
    <row r="23" spans="1:16" x14ac:dyDescent="0.45">
      <c r="A23" t="s">
        <v>112</v>
      </c>
      <c r="B23" t="s">
        <v>65</v>
      </c>
      <c r="C23" s="3">
        <v>45724</v>
      </c>
      <c r="D23">
        <v>66390</v>
      </c>
      <c r="E23" s="4">
        <v>19764</v>
      </c>
      <c r="F23" s="4">
        <v>2</v>
      </c>
      <c r="G23">
        <v>2</v>
      </c>
      <c r="H23">
        <v>0</v>
      </c>
      <c r="I23" s="4">
        <v>0</v>
      </c>
      <c r="J23" s="4">
        <v>2</v>
      </c>
      <c r="K23" s="4">
        <v>2</v>
      </c>
      <c r="L23" s="4">
        <v>-46626</v>
      </c>
      <c r="M23" s="4">
        <v>66388</v>
      </c>
      <c r="N23" s="4">
        <v>2</v>
      </c>
      <c r="O23" t="s">
        <v>26</v>
      </c>
      <c r="P23" t="s">
        <v>111</v>
      </c>
    </row>
    <row r="24" spans="1:16" x14ac:dyDescent="0.45">
      <c r="A24" t="s">
        <v>116</v>
      </c>
      <c r="B24" t="s">
        <v>65</v>
      </c>
      <c r="C24" s="3">
        <v>45727</v>
      </c>
      <c r="D24">
        <v>77031</v>
      </c>
      <c r="E24" s="4">
        <v>44076</v>
      </c>
      <c r="F24" s="4">
        <v>2</v>
      </c>
      <c r="G24">
        <v>2</v>
      </c>
      <c r="H24">
        <v>0</v>
      </c>
      <c r="I24" s="4">
        <v>0</v>
      </c>
      <c r="J24" s="4">
        <v>2</v>
      </c>
      <c r="K24" s="4">
        <v>2</v>
      </c>
      <c r="L24" s="4">
        <v>-32955</v>
      </c>
      <c r="M24" s="4">
        <v>77029</v>
      </c>
      <c r="N24" s="4">
        <v>2</v>
      </c>
      <c r="O24" t="s">
        <v>26</v>
      </c>
      <c r="P24" t="s">
        <v>111</v>
      </c>
    </row>
    <row r="25" spans="1:16" x14ac:dyDescent="0.45">
      <c r="A25" t="s">
        <v>120</v>
      </c>
      <c r="B25" t="s">
        <v>65</v>
      </c>
      <c r="C25" s="3">
        <v>45730</v>
      </c>
      <c r="D25">
        <v>23182</v>
      </c>
      <c r="E25" s="4">
        <v>42982</v>
      </c>
      <c r="F25" s="4">
        <v>2</v>
      </c>
      <c r="G25">
        <v>2</v>
      </c>
      <c r="H25">
        <v>0</v>
      </c>
      <c r="I25" s="4">
        <v>0</v>
      </c>
      <c r="J25" s="4">
        <v>2</v>
      </c>
      <c r="K25" s="4">
        <v>2</v>
      </c>
      <c r="L25" s="4">
        <v>19800</v>
      </c>
      <c r="M25" s="4">
        <v>23180</v>
      </c>
      <c r="N25" s="4">
        <v>2</v>
      </c>
      <c r="O25" t="s">
        <v>26</v>
      </c>
      <c r="P25" t="s">
        <v>111</v>
      </c>
    </row>
    <row r="26" spans="1:16" x14ac:dyDescent="0.45">
      <c r="A26" t="s">
        <v>124</v>
      </c>
      <c r="B26" t="s">
        <v>65</v>
      </c>
      <c r="C26" s="3">
        <v>45733</v>
      </c>
      <c r="D26">
        <v>22349</v>
      </c>
      <c r="E26" s="4">
        <v>29688</v>
      </c>
      <c r="F26" s="4">
        <v>2</v>
      </c>
      <c r="G26">
        <v>2</v>
      </c>
      <c r="H26">
        <v>0</v>
      </c>
      <c r="I26" s="4">
        <v>0</v>
      </c>
      <c r="J26" s="4">
        <v>2</v>
      </c>
      <c r="K26" s="4">
        <v>2</v>
      </c>
      <c r="L26" s="4">
        <v>7339</v>
      </c>
      <c r="M26" s="4">
        <v>22347</v>
      </c>
      <c r="N26" s="4">
        <v>2</v>
      </c>
      <c r="O26" t="s">
        <v>26</v>
      </c>
      <c r="P26" t="s">
        <v>111</v>
      </c>
    </row>
    <row r="27" spans="1:16" x14ac:dyDescent="0.45">
      <c r="A27" t="s">
        <v>128</v>
      </c>
      <c r="B27" t="s">
        <v>65</v>
      </c>
      <c r="C27" s="3">
        <v>45736</v>
      </c>
      <c r="D27">
        <v>9282</v>
      </c>
      <c r="E27" s="4">
        <v>70087</v>
      </c>
      <c r="F27" s="4">
        <v>2</v>
      </c>
      <c r="G27">
        <v>2</v>
      </c>
      <c r="H27">
        <v>0</v>
      </c>
      <c r="I27" s="4">
        <v>0</v>
      </c>
      <c r="J27" s="4">
        <v>2</v>
      </c>
      <c r="K27" s="4">
        <v>2</v>
      </c>
      <c r="L27" s="4">
        <v>60805</v>
      </c>
      <c r="M27" s="4">
        <v>9280</v>
      </c>
      <c r="N27" s="4">
        <v>2</v>
      </c>
      <c r="O27" t="s">
        <v>26</v>
      </c>
      <c r="P27" t="s">
        <v>111</v>
      </c>
    </row>
    <row r="28" spans="1:16" x14ac:dyDescent="0.45">
      <c r="A28" t="s">
        <v>133</v>
      </c>
      <c r="B28" t="s">
        <v>65</v>
      </c>
      <c r="C28" s="3">
        <v>45739</v>
      </c>
      <c r="D28">
        <v>24303</v>
      </c>
      <c r="E28" s="4">
        <v>29700</v>
      </c>
      <c r="F28" s="4">
        <v>2</v>
      </c>
      <c r="G28">
        <v>2</v>
      </c>
      <c r="H28">
        <v>0</v>
      </c>
      <c r="I28" s="4">
        <v>0</v>
      </c>
      <c r="J28" s="4">
        <v>2</v>
      </c>
      <c r="K28" s="4">
        <v>2</v>
      </c>
      <c r="L28" s="4">
        <v>5397</v>
      </c>
      <c r="M28" s="4">
        <v>24301</v>
      </c>
      <c r="N28" s="4">
        <v>2</v>
      </c>
      <c r="O28" t="s">
        <v>26</v>
      </c>
      <c r="P28" t="s">
        <v>111</v>
      </c>
    </row>
    <row r="29" spans="1:16" x14ac:dyDescent="0.45">
      <c r="A29" t="s">
        <v>137</v>
      </c>
      <c r="B29" t="s">
        <v>65</v>
      </c>
      <c r="C29" s="3">
        <v>45742</v>
      </c>
      <c r="D29">
        <v>27816</v>
      </c>
      <c r="E29" s="4">
        <v>7230</v>
      </c>
      <c r="F29" s="4">
        <v>2</v>
      </c>
      <c r="G29">
        <v>2</v>
      </c>
      <c r="H29">
        <v>0</v>
      </c>
      <c r="I29" s="4">
        <v>0</v>
      </c>
      <c r="J29" s="4">
        <v>2</v>
      </c>
      <c r="K29" s="4">
        <v>2</v>
      </c>
      <c r="L29" s="4">
        <v>-20586</v>
      </c>
      <c r="M29" s="4">
        <v>27814</v>
      </c>
      <c r="N29" s="4">
        <v>2</v>
      </c>
      <c r="O29" t="s">
        <v>26</v>
      </c>
      <c r="P29" t="s">
        <v>111</v>
      </c>
    </row>
    <row r="30" spans="1:16" x14ac:dyDescent="0.45">
      <c r="A30" t="s">
        <v>141</v>
      </c>
      <c r="B30" t="s">
        <v>65</v>
      </c>
      <c r="C30" s="3">
        <v>45745</v>
      </c>
      <c r="D30">
        <v>71611</v>
      </c>
      <c r="E30" s="4">
        <v>65418</v>
      </c>
      <c r="F30" s="4">
        <v>2</v>
      </c>
      <c r="G30">
        <v>2</v>
      </c>
      <c r="H30">
        <v>0</v>
      </c>
      <c r="I30" s="4">
        <v>0</v>
      </c>
      <c r="J30" s="4">
        <v>2</v>
      </c>
      <c r="K30" s="4">
        <v>2</v>
      </c>
      <c r="L30" s="4">
        <v>-6193</v>
      </c>
      <c r="M30" s="4">
        <v>71609</v>
      </c>
      <c r="N30" s="4">
        <v>2</v>
      </c>
      <c r="O30" t="s">
        <v>26</v>
      </c>
      <c r="P30" t="s">
        <v>111</v>
      </c>
    </row>
    <row r="31" spans="1:16" x14ac:dyDescent="0.45">
      <c r="A31" t="s">
        <v>145</v>
      </c>
      <c r="B31" t="s">
        <v>65</v>
      </c>
      <c r="C31" s="3">
        <v>45748</v>
      </c>
      <c r="D31">
        <v>51383</v>
      </c>
      <c r="E31" s="4">
        <v>44000</v>
      </c>
      <c r="F31" s="4">
        <v>2</v>
      </c>
      <c r="G31">
        <v>2</v>
      </c>
      <c r="H31">
        <v>0</v>
      </c>
      <c r="I31" s="4">
        <v>0</v>
      </c>
      <c r="J31" s="4">
        <v>2</v>
      </c>
      <c r="K31" s="4">
        <v>2</v>
      </c>
      <c r="L31" s="4">
        <v>-7383</v>
      </c>
      <c r="M31" s="4">
        <v>51381</v>
      </c>
      <c r="N31" s="4">
        <v>2</v>
      </c>
      <c r="O31" t="s">
        <v>26</v>
      </c>
      <c r="P31" t="s">
        <v>111</v>
      </c>
    </row>
    <row r="32" spans="1:16" x14ac:dyDescent="0.45">
      <c r="A32" t="s">
        <v>149</v>
      </c>
      <c r="B32" t="s">
        <v>65</v>
      </c>
      <c r="C32" s="3">
        <v>45751</v>
      </c>
      <c r="D32">
        <v>52397</v>
      </c>
      <c r="E32" s="4">
        <v>37526</v>
      </c>
      <c r="F32" s="4">
        <v>2</v>
      </c>
      <c r="G32">
        <v>2</v>
      </c>
      <c r="H32">
        <v>0</v>
      </c>
      <c r="I32" s="4">
        <v>0</v>
      </c>
      <c r="J32" s="4">
        <v>2</v>
      </c>
      <c r="K32" s="4">
        <v>2</v>
      </c>
      <c r="L32" s="4">
        <v>-14871</v>
      </c>
      <c r="M32" s="4">
        <v>52395</v>
      </c>
      <c r="N32" s="4">
        <v>2</v>
      </c>
      <c r="O32" t="s">
        <v>26</v>
      </c>
      <c r="P32" t="s">
        <v>111</v>
      </c>
    </row>
    <row r="33" spans="1:16" x14ac:dyDescent="0.45">
      <c r="A33" t="s">
        <v>154</v>
      </c>
      <c r="B33" t="s">
        <v>65</v>
      </c>
      <c r="C33" s="3">
        <v>45754</v>
      </c>
      <c r="D33">
        <v>37630</v>
      </c>
      <c r="E33" s="4">
        <v>5275</v>
      </c>
      <c r="F33" s="4">
        <v>2</v>
      </c>
      <c r="G33">
        <v>2</v>
      </c>
      <c r="H33">
        <v>0</v>
      </c>
      <c r="I33" s="4">
        <v>0</v>
      </c>
      <c r="J33" s="4">
        <v>2</v>
      </c>
      <c r="K33" s="4">
        <v>2</v>
      </c>
      <c r="L33" s="4">
        <v>-32355</v>
      </c>
      <c r="M33" s="4">
        <v>37628</v>
      </c>
      <c r="N33" s="4">
        <v>2</v>
      </c>
      <c r="O33" t="s">
        <v>26</v>
      </c>
      <c r="P33" t="s">
        <v>111</v>
      </c>
    </row>
    <row r="34" spans="1:16" x14ac:dyDescent="0.45">
      <c r="A34" t="s">
        <v>158</v>
      </c>
      <c r="B34" t="s">
        <v>65</v>
      </c>
      <c r="C34" s="3">
        <v>45757</v>
      </c>
      <c r="D34">
        <v>12539</v>
      </c>
      <c r="E34" s="4">
        <v>3666</v>
      </c>
      <c r="F34" s="4">
        <v>2</v>
      </c>
      <c r="G34">
        <v>2</v>
      </c>
      <c r="H34">
        <v>0</v>
      </c>
      <c r="I34" s="4">
        <v>0</v>
      </c>
      <c r="J34" s="4">
        <v>2</v>
      </c>
      <c r="K34" s="4">
        <v>2</v>
      </c>
      <c r="L34" s="4">
        <v>-8873</v>
      </c>
      <c r="M34" s="4">
        <v>12537</v>
      </c>
      <c r="N34" s="4">
        <v>2</v>
      </c>
      <c r="O34" t="s">
        <v>26</v>
      </c>
      <c r="P34" t="s">
        <v>111</v>
      </c>
    </row>
    <row r="35" spans="1:16" x14ac:dyDescent="0.45">
      <c r="A35" t="s">
        <v>162</v>
      </c>
      <c r="B35" t="s">
        <v>65</v>
      </c>
      <c r="C35" s="3">
        <v>45760</v>
      </c>
      <c r="D35">
        <v>39637</v>
      </c>
      <c r="E35" s="4">
        <v>17187</v>
      </c>
      <c r="F35" s="4">
        <v>2</v>
      </c>
      <c r="G35">
        <v>2</v>
      </c>
      <c r="H35">
        <v>0</v>
      </c>
      <c r="I35" s="4">
        <v>0</v>
      </c>
      <c r="J35" s="4">
        <v>2</v>
      </c>
      <c r="K35" s="4">
        <v>2</v>
      </c>
      <c r="L35" s="4">
        <v>-22450</v>
      </c>
      <c r="M35" s="4">
        <v>39635</v>
      </c>
      <c r="N35" s="4">
        <v>2</v>
      </c>
      <c r="O35" t="s">
        <v>26</v>
      </c>
      <c r="P35" t="s">
        <v>111</v>
      </c>
    </row>
    <row r="36" spans="1:16" x14ac:dyDescent="0.45">
      <c r="A36" t="s">
        <v>166</v>
      </c>
      <c r="B36" t="s">
        <v>65</v>
      </c>
      <c r="C36" s="3">
        <v>45763</v>
      </c>
      <c r="D36">
        <v>44947</v>
      </c>
      <c r="E36" s="4">
        <v>61799</v>
      </c>
      <c r="F36" s="4">
        <v>2</v>
      </c>
      <c r="G36">
        <v>2</v>
      </c>
      <c r="H36">
        <v>0</v>
      </c>
      <c r="I36" s="4">
        <v>0</v>
      </c>
      <c r="J36" s="4">
        <v>2</v>
      </c>
      <c r="K36" s="4">
        <v>2</v>
      </c>
      <c r="L36" s="4">
        <v>16852</v>
      </c>
      <c r="M36" s="4">
        <v>44945</v>
      </c>
      <c r="N36" s="4">
        <v>2</v>
      </c>
      <c r="O36" t="s">
        <v>26</v>
      </c>
      <c r="P36" t="s">
        <v>111</v>
      </c>
    </row>
    <row r="37" spans="1:16" x14ac:dyDescent="0.45">
      <c r="A37" t="s">
        <v>170</v>
      </c>
      <c r="B37" t="s">
        <v>65</v>
      </c>
      <c r="C37" s="3">
        <v>45766</v>
      </c>
      <c r="D37">
        <v>9675</v>
      </c>
      <c r="E37" s="4">
        <v>34349</v>
      </c>
      <c r="F37" s="4">
        <v>2</v>
      </c>
      <c r="G37">
        <v>2</v>
      </c>
      <c r="H37">
        <v>0</v>
      </c>
      <c r="I37" s="4">
        <v>0</v>
      </c>
      <c r="J37" s="4">
        <v>2</v>
      </c>
      <c r="K37" s="4">
        <v>2</v>
      </c>
      <c r="L37" s="4">
        <v>24674</v>
      </c>
      <c r="M37" s="4">
        <v>9673</v>
      </c>
      <c r="N37" s="4">
        <v>2</v>
      </c>
      <c r="O37" t="s">
        <v>26</v>
      </c>
      <c r="P37" t="s">
        <v>111</v>
      </c>
    </row>
    <row r="38" spans="1:16" x14ac:dyDescent="0.45">
      <c r="A38" t="s">
        <v>174</v>
      </c>
      <c r="B38" t="s">
        <v>65</v>
      </c>
      <c r="C38" s="3">
        <v>45769</v>
      </c>
      <c r="D38">
        <v>32950</v>
      </c>
      <c r="E38" s="4">
        <v>53482</v>
      </c>
      <c r="F38" s="4">
        <v>2</v>
      </c>
      <c r="G38">
        <v>2</v>
      </c>
      <c r="H38">
        <v>0</v>
      </c>
      <c r="I38" s="4">
        <v>0</v>
      </c>
      <c r="J38" s="4">
        <v>2</v>
      </c>
      <c r="K38" s="4">
        <v>2</v>
      </c>
      <c r="L38" s="4">
        <v>20532</v>
      </c>
      <c r="M38" s="4">
        <v>32948</v>
      </c>
      <c r="N38" s="4">
        <v>2</v>
      </c>
      <c r="O38" t="s">
        <v>26</v>
      </c>
      <c r="P38" t="s">
        <v>111</v>
      </c>
    </row>
    <row r="39" spans="1:16" x14ac:dyDescent="0.45">
      <c r="A39" t="s">
        <v>178</v>
      </c>
      <c r="B39" t="s">
        <v>65</v>
      </c>
      <c r="C39" s="3">
        <v>45772</v>
      </c>
      <c r="D39">
        <v>60626</v>
      </c>
      <c r="E39" s="4">
        <v>32562</v>
      </c>
      <c r="F39" s="4">
        <v>2</v>
      </c>
      <c r="G39">
        <v>2</v>
      </c>
      <c r="H39">
        <v>0</v>
      </c>
      <c r="I39" s="4">
        <v>0</v>
      </c>
      <c r="J39" s="4">
        <v>2</v>
      </c>
      <c r="K39" s="4">
        <v>2</v>
      </c>
      <c r="L39" s="4">
        <v>-28064</v>
      </c>
      <c r="M39" s="4">
        <v>60624</v>
      </c>
      <c r="N39" s="4">
        <v>2</v>
      </c>
      <c r="O39" t="s">
        <v>26</v>
      </c>
      <c r="P39" t="s">
        <v>111</v>
      </c>
    </row>
    <row r="40" spans="1:16" x14ac:dyDescent="0.45">
      <c r="A40" t="s">
        <v>182</v>
      </c>
      <c r="B40" t="s">
        <v>65</v>
      </c>
      <c r="C40" s="3">
        <v>45775</v>
      </c>
      <c r="D40">
        <v>8713</v>
      </c>
      <c r="E40" s="4">
        <v>78610</v>
      </c>
      <c r="F40" s="4">
        <v>2</v>
      </c>
      <c r="G40">
        <v>2</v>
      </c>
      <c r="H40">
        <v>0</v>
      </c>
      <c r="I40" s="4">
        <v>0</v>
      </c>
      <c r="J40" s="4">
        <v>2</v>
      </c>
      <c r="K40" s="4">
        <v>2</v>
      </c>
      <c r="L40" s="4">
        <v>69897</v>
      </c>
      <c r="M40" s="4">
        <v>8711</v>
      </c>
      <c r="N40" s="4">
        <v>2</v>
      </c>
      <c r="O40" t="s">
        <v>26</v>
      </c>
      <c r="P40" t="s">
        <v>111</v>
      </c>
    </row>
    <row r="41" spans="1:16" x14ac:dyDescent="0.45">
      <c r="A41" t="s">
        <v>186</v>
      </c>
      <c r="B41" t="s">
        <v>65</v>
      </c>
      <c r="C41" s="3">
        <v>45778</v>
      </c>
      <c r="D41">
        <v>76334</v>
      </c>
      <c r="E41" s="4">
        <v>66187</v>
      </c>
      <c r="F41" s="4">
        <v>2</v>
      </c>
      <c r="G41">
        <v>2</v>
      </c>
      <c r="H41">
        <v>0</v>
      </c>
      <c r="I41" s="4">
        <v>0</v>
      </c>
      <c r="J41" s="4">
        <v>2</v>
      </c>
      <c r="K41" s="4">
        <v>2</v>
      </c>
      <c r="L41" s="4">
        <v>-10147</v>
      </c>
      <c r="M41" s="4">
        <v>76332</v>
      </c>
      <c r="N41" s="4">
        <v>2</v>
      </c>
      <c r="O41" t="s">
        <v>26</v>
      </c>
      <c r="P41" t="s">
        <v>111</v>
      </c>
    </row>
    <row r="42" spans="1:16" x14ac:dyDescent="0.45">
      <c r="A42" t="s">
        <v>190</v>
      </c>
      <c r="B42" t="s">
        <v>65</v>
      </c>
      <c r="C42" s="3">
        <v>45781</v>
      </c>
      <c r="D42">
        <v>51280</v>
      </c>
      <c r="E42" s="4">
        <v>2825</v>
      </c>
      <c r="F42" s="4">
        <v>2</v>
      </c>
      <c r="G42">
        <v>2</v>
      </c>
      <c r="H42">
        <v>0.5</v>
      </c>
      <c r="I42" s="4">
        <v>0</v>
      </c>
      <c r="J42" s="4">
        <v>1.5</v>
      </c>
      <c r="K42" s="4">
        <v>1.5</v>
      </c>
      <c r="L42" s="4">
        <v>-48455</v>
      </c>
      <c r="M42" s="4">
        <v>51278</v>
      </c>
      <c r="N42" s="4">
        <v>1.5</v>
      </c>
      <c r="O42" t="s">
        <v>26</v>
      </c>
      <c r="P42" t="s">
        <v>111</v>
      </c>
    </row>
    <row r="43" spans="1:16" x14ac:dyDescent="0.45">
      <c r="A43" t="s">
        <v>196</v>
      </c>
      <c r="B43" t="s">
        <v>65</v>
      </c>
      <c r="C43" s="3">
        <v>45784</v>
      </c>
      <c r="D43">
        <v>69002</v>
      </c>
      <c r="E43" s="4">
        <v>12520</v>
      </c>
      <c r="F43" s="4">
        <v>2</v>
      </c>
      <c r="G43">
        <v>2</v>
      </c>
      <c r="H43">
        <v>0.5</v>
      </c>
      <c r="I43" s="4">
        <v>0</v>
      </c>
      <c r="J43" s="4">
        <v>1.5</v>
      </c>
      <c r="K43" s="4">
        <v>1.5</v>
      </c>
      <c r="L43" s="4">
        <v>-56482</v>
      </c>
      <c r="M43" s="4">
        <v>69000</v>
      </c>
      <c r="N43" s="4">
        <v>1.5</v>
      </c>
      <c r="O43" t="s">
        <v>26</v>
      </c>
      <c r="P43" t="s">
        <v>111</v>
      </c>
    </row>
    <row r="44" spans="1:16" x14ac:dyDescent="0.45">
      <c r="A44" t="s">
        <v>200</v>
      </c>
      <c r="B44" t="s">
        <v>65</v>
      </c>
      <c r="C44" s="3">
        <v>45787</v>
      </c>
      <c r="D44">
        <v>4252</v>
      </c>
      <c r="E44" s="4">
        <v>55480</v>
      </c>
      <c r="F44" s="4">
        <v>2</v>
      </c>
      <c r="G44">
        <v>2</v>
      </c>
      <c r="H44">
        <v>0.5</v>
      </c>
      <c r="I44" s="4">
        <v>0</v>
      </c>
      <c r="J44" s="4">
        <v>1.5</v>
      </c>
      <c r="K44" s="4">
        <v>1.5</v>
      </c>
      <c r="L44" s="4">
        <v>51228</v>
      </c>
      <c r="M44" s="4">
        <v>4250</v>
      </c>
      <c r="N44" s="4">
        <v>1.5</v>
      </c>
      <c r="O44" t="s">
        <v>26</v>
      </c>
      <c r="P44" t="s">
        <v>111</v>
      </c>
    </row>
    <row r="45" spans="1:16" x14ac:dyDescent="0.45">
      <c r="A45" t="s">
        <v>204</v>
      </c>
      <c r="B45" t="s">
        <v>65</v>
      </c>
      <c r="C45" s="3">
        <v>45790</v>
      </c>
      <c r="D45">
        <v>76467</v>
      </c>
      <c r="E45" s="4">
        <v>8557</v>
      </c>
      <c r="F45" s="4">
        <v>2</v>
      </c>
      <c r="G45">
        <v>2</v>
      </c>
      <c r="H45">
        <v>0.5</v>
      </c>
      <c r="I45" s="4">
        <v>0</v>
      </c>
      <c r="J45" s="4">
        <v>1.5</v>
      </c>
      <c r="K45" s="4">
        <v>1.5</v>
      </c>
      <c r="L45" s="4">
        <v>-67910</v>
      </c>
      <c r="M45" s="4">
        <v>76465</v>
      </c>
      <c r="N45" s="4">
        <v>1.5</v>
      </c>
      <c r="O45" t="s">
        <v>26</v>
      </c>
      <c r="P45" t="s">
        <v>111</v>
      </c>
    </row>
    <row r="46" spans="1:16" x14ac:dyDescent="0.45">
      <c r="A46" t="s">
        <v>208</v>
      </c>
      <c r="B46" t="s">
        <v>65</v>
      </c>
      <c r="C46" s="3">
        <v>45793</v>
      </c>
      <c r="D46">
        <v>32394</v>
      </c>
      <c r="E46" s="4">
        <v>41679</v>
      </c>
      <c r="F46" s="4">
        <v>2</v>
      </c>
      <c r="G46">
        <v>2</v>
      </c>
      <c r="H46">
        <v>0.5</v>
      </c>
      <c r="I46" s="4">
        <v>0</v>
      </c>
      <c r="J46" s="4">
        <v>1.5</v>
      </c>
      <c r="K46" s="4">
        <v>1.5</v>
      </c>
      <c r="L46" s="4">
        <v>9285</v>
      </c>
      <c r="M46" s="4">
        <v>32392</v>
      </c>
      <c r="N46" s="4">
        <v>1.5</v>
      </c>
      <c r="O46" t="s">
        <v>26</v>
      </c>
      <c r="P46" t="s">
        <v>111</v>
      </c>
    </row>
    <row r="47" spans="1:16" x14ac:dyDescent="0.45">
      <c r="A47" t="s">
        <v>212</v>
      </c>
      <c r="B47" t="s">
        <v>65</v>
      </c>
      <c r="C47" s="3">
        <v>45796</v>
      </c>
      <c r="D47">
        <v>58621</v>
      </c>
      <c r="E47" s="4">
        <v>40982</v>
      </c>
      <c r="F47" s="4">
        <v>2</v>
      </c>
      <c r="G47">
        <v>2</v>
      </c>
      <c r="H47">
        <v>0.5</v>
      </c>
      <c r="I47" s="4">
        <v>0</v>
      </c>
      <c r="J47" s="4">
        <v>1.5</v>
      </c>
      <c r="K47" s="4">
        <v>1.5</v>
      </c>
      <c r="L47" s="4">
        <v>-17639</v>
      </c>
      <c r="M47" s="4">
        <v>58619</v>
      </c>
      <c r="N47" s="4">
        <v>1.5</v>
      </c>
      <c r="O47" t="s">
        <v>214</v>
      </c>
    </row>
    <row r="48" spans="1:16" x14ac:dyDescent="0.45">
      <c r="A48" t="s">
        <v>218</v>
      </c>
      <c r="B48" t="s">
        <v>65</v>
      </c>
      <c r="C48" s="3">
        <v>45799</v>
      </c>
      <c r="D48">
        <v>20681</v>
      </c>
      <c r="E48" s="4">
        <v>13900</v>
      </c>
      <c r="F48" s="4">
        <v>2</v>
      </c>
      <c r="G48">
        <v>2</v>
      </c>
      <c r="H48">
        <v>0.5</v>
      </c>
      <c r="I48" s="4">
        <v>0</v>
      </c>
      <c r="J48" s="4">
        <v>1.5</v>
      </c>
      <c r="K48" s="4">
        <v>1.5</v>
      </c>
      <c r="L48" s="4">
        <v>-6781</v>
      </c>
      <c r="M48" s="4">
        <v>20679</v>
      </c>
      <c r="N48" s="4">
        <v>1.5</v>
      </c>
      <c r="O48" t="s">
        <v>214</v>
      </c>
    </row>
    <row r="49" spans="1:15" x14ac:dyDescent="0.45">
      <c r="A49" t="s">
        <v>222</v>
      </c>
      <c r="B49" t="s">
        <v>65</v>
      </c>
      <c r="C49" s="3">
        <v>45802</v>
      </c>
      <c r="D49">
        <v>1819</v>
      </c>
      <c r="E49" s="4">
        <v>64721</v>
      </c>
      <c r="F49" s="4">
        <v>2</v>
      </c>
      <c r="G49">
        <v>2</v>
      </c>
      <c r="H49">
        <v>0.5</v>
      </c>
      <c r="I49" s="4">
        <v>0</v>
      </c>
      <c r="J49" s="4">
        <v>1.5</v>
      </c>
      <c r="K49" s="4">
        <v>1.5</v>
      </c>
      <c r="L49" s="4">
        <v>62902</v>
      </c>
      <c r="M49" s="4">
        <v>1817</v>
      </c>
      <c r="N49" s="4">
        <v>1.5</v>
      </c>
      <c r="O49" t="s">
        <v>214</v>
      </c>
    </row>
    <row r="50" spans="1:15" x14ac:dyDescent="0.45">
      <c r="A50" t="s">
        <v>226</v>
      </c>
      <c r="B50" t="s">
        <v>65</v>
      </c>
      <c r="C50" s="3">
        <v>45805</v>
      </c>
      <c r="D50">
        <v>6017</v>
      </c>
      <c r="E50" s="4">
        <v>69038</v>
      </c>
      <c r="F50" s="4">
        <v>2</v>
      </c>
      <c r="G50">
        <v>2</v>
      </c>
      <c r="H50">
        <v>0.5</v>
      </c>
      <c r="I50" s="4">
        <v>0</v>
      </c>
      <c r="J50" s="4">
        <v>1.5</v>
      </c>
      <c r="K50" s="4">
        <v>1.5</v>
      </c>
      <c r="L50" s="4">
        <v>63021</v>
      </c>
      <c r="M50" s="4">
        <v>6015</v>
      </c>
      <c r="N50" s="4">
        <v>1.5</v>
      </c>
      <c r="O50" t="s">
        <v>228</v>
      </c>
    </row>
    <row r="51" spans="1:15" x14ac:dyDescent="0.45">
      <c r="A51" t="s">
        <v>231</v>
      </c>
      <c r="B51" t="s">
        <v>65</v>
      </c>
      <c r="C51" s="3">
        <v>45808</v>
      </c>
      <c r="D51">
        <v>3659</v>
      </c>
      <c r="E51" s="4">
        <v>30753</v>
      </c>
      <c r="F51" s="4">
        <v>2</v>
      </c>
      <c r="G51">
        <v>2</v>
      </c>
      <c r="H51">
        <v>0.5</v>
      </c>
      <c r="I51" s="4">
        <v>0</v>
      </c>
      <c r="J51" s="4">
        <v>1.5</v>
      </c>
      <c r="K51" s="4">
        <v>1.5</v>
      </c>
      <c r="L51" s="4">
        <v>27094</v>
      </c>
      <c r="M51" s="4">
        <v>3657</v>
      </c>
      <c r="N51" s="4">
        <v>1.5</v>
      </c>
      <c r="O51" t="s">
        <v>228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6"/>
  <sheetViews>
    <sheetView workbookViewId="0"/>
  </sheetViews>
  <sheetFormatPr defaultRowHeight="14.25" x14ac:dyDescent="0.45"/>
  <sheetData>
    <row r="1" spans="1:7" x14ac:dyDescent="0.45">
      <c r="A1" s="1" t="s">
        <v>251</v>
      </c>
      <c r="B1" s="1" t="s">
        <v>252</v>
      </c>
      <c r="C1" s="1" t="s">
        <v>253</v>
      </c>
      <c r="D1" s="1" t="s">
        <v>245</v>
      </c>
      <c r="E1" s="1" t="s">
        <v>246</v>
      </c>
      <c r="F1" s="1" t="s">
        <v>247</v>
      </c>
      <c r="G1" s="1" t="s">
        <v>254</v>
      </c>
    </row>
    <row r="2" spans="1:7" x14ac:dyDescent="0.45">
      <c r="A2" t="s">
        <v>243</v>
      </c>
      <c r="B2">
        <v>10</v>
      </c>
      <c r="C2" s="5">
        <v>350497</v>
      </c>
      <c r="D2" s="4">
        <v>0</v>
      </c>
      <c r="E2" s="4">
        <v>20</v>
      </c>
      <c r="F2" s="4">
        <v>20</v>
      </c>
      <c r="G2" s="4">
        <v>10</v>
      </c>
    </row>
    <row r="3" spans="1:7" x14ac:dyDescent="0.45">
      <c r="A3" t="s">
        <v>241</v>
      </c>
      <c r="B3">
        <v>9</v>
      </c>
      <c r="C3" s="5">
        <v>273641</v>
      </c>
      <c r="D3" s="4">
        <v>0</v>
      </c>
      <c r="E3" s="4">
        <v>18</v>
      </c>
      <c r="F3" s="4">
        <v>18</v>
      </c>
      <c r="G3" s="4">
        <v>9</v>
      </c>
    </row>
    <row r="4" spans="1:7" x14ac:dyDescent="0.45">
      <c r="A4" t="s">
        <v>240</v>
      </c>
      <c r="B4">
        <v>10</v>
      </c>
      <c r="C4" s="5">
        <v>421831</v>
      </c>
      <c r="D4" s="4">
        <v>0</v>
      </c>
      <c r="E4" s="4">
        <v>20</v>
      </c>
      <c r="F4" s="4">
        <v>20</v>
      </c>
      <c r="G4" s="4">
        <v>10</v>
      </c>
    </row>
    <row r="5" spans="1:7" x14ac:dyDescent="0.45">
      <c r="A5" t="s">
        <v>242</v>
      </c>
      <c r="B5">
        <v>10</v>
      </c>
      <c r="C5" s="5">
        <v>421822</v>
      </c>
      <c r="D5" s="4">
        <v>0</v>
      </c>
      <c r="E5" s="4">
        <v>20</v>
      </c>
      <c r="F5" s="4">
        <v>20</v>
      </c>
      <c r="G5" s="4">
        <v>10</v>
      </c>
    </row>
    <row r="6" spans="1:7" x14ac:dyDescent="0.45">
      <c r="A6" t="s">
        <v>244</v>
      </c>
      <c r="B6">
        <v>6</v>
      </c>
      <c r="C6" s="5">
        <v>309729</v>
      </c>
      <c r="D6" s="4">
        <v>0</v>
      </c>
      <c r="E6" s="4">
        <v>9.5</v>
      </c>
      <c r="F6" s="4">
        <v>9.5</v>
      </c>
      <c r="G6" s="4">
        <v>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4"/>
  <sheetViews>
    <sheetView workbookViewId="0"/>
  </sheetViews>
  <sheetFormatPr defaultRowHeight="14.25" x14ac:dyDescent="0.45"/>
  <sheetData>
    <row r="1" spans="1:9" x14ac:dyDescent="0.45">
      <c r="A1" s="1" t="s">
        <v>255</v>
      </c>
      <c r="B1" s="1" t="s">
        <v>256</v>
      </c>
      <c r="C1" s="1" t="s">
        <v>257</v>
      </c>
      <c r="D1" s="1" t="s">
        <v>245</v>
      </c>
      <c r="E1" s="1" t="s">
        <v>246</v>
      </c>
      <c r="F1" s="1" t="s">
        <v>247</v>
      </c>
      <c r="G1" s="1" t="s">
        <v>254</v>
      </c>
      <c r="H1" s="1" t="s">
        <v>258</v>
      </c>
      <c r="I1" s="1" t="s">
        <v>259</v>
      </c>
    </row>
    <row r="2" spans="1:9" x14ac:dyDescent="0.45">
      <c r="A2" t="s">
        <v>54</v>
      </c>
      <c r="B2">
        <v>3</v>
      </c>
      <c r="C2" s="4">
        <v>169582</v>
      </c>
      <c r="D2" s="4">
        <v>0</v>
      </c>
      <c r="E2" s="4">
        <v>6</v>
      </c>
      <c r="F2" s="4">
        <v>6</v>
      </c>
      <c r="G2" s="4">
        <v>3</v>
      </c>
      <c r="H2" s="6">
        <v>0</v>
      </c>
      <c r="I2" s="6">
        <v>0</v>
      </c>
    </row>
    <row r="3" spans="1:9" x14ac:dyDescent="0.45">
      <c r="A3" t="s">
        <v>21</v>
      </c>
      <c r="B3">
        <v>7</v>
      </c>
      <c r="C3" s="4">
        <v>252249</v>
      </c>
      <c r="D3" s="4">
        <v>0</v>
      </c>
      <c r="E3" s="4">
        <v>14</v>
      </c>
      <c r="F3" s="4">
        <v>14</v>
      </c>
      <c r="G3" s="4">
        <v>7</v>
      </c>
      <c r="H3" s="6">
        <v>0</v>
      </c>
      <c r="I3" s="6">
        <v>0.01</v>
      </c>
    </row>
    <row r="4" spans="1:9" x14ac:dyDescent="0.45">
      <c r="A4" t="s">
        <v>65</v>
      </c>
      <c r="B4">
        <v>35</v>
      </c>
      <c r="C4" s="4">
        <v>1355689</v>
      </c>
      <c r="D4" s="4">
        <v>0</v>
      </c>
      <c r="E4" s="4">
        <v>67.5</v>
      </c>
      <c r="F4" s="4">
        <v>67.5</v>
      </c>
      <c r="G4" s="4">
        <v>35</v>
      </c>
      <c r="H4" s="6">
        <v>0</v>
      </c>
      <c r="I4" s="6">
        <v>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4.25" x14ac:dyDescent="0.45"/>
  <sheetData>
    <row r="1" spans="1:5" x14ac:dyDescent="0.45">
      <c r="A1" s="1" t="s">
        <v>13</v>
      </c>
      <c r="B1" s="1" t="s">
        <v>9</v>
      </c>
      <c r="C1" s="1" t="s">
        <v>3</v>
      </c>
      <c r="D1" s="1" t="s">
        <v>5</v>
      </c>
      <c r="E1" s="1" t="s">
        <v>247</v>
      </c>
    </row>
    <row r="2" spans="1:5" x14ac:dyDescent="0.45">
      <c r="A2" t="s">
        <v>30</v>
      </c>
      <c r="B2" t="s">
        <v>26</v>
      </c>
      <c r="C2">
        <v>10</v>
      </c>
      <c r="D2" s="4">
        <v>421831</v>
      </c>
      <c r="E2" s="4">
        <v>20</v>
      </c>
    </row>
    <row r="3" spans="1:5" x14ac:dyDescent="0.45">
      <c r="A3" t="s">
        <v>70</v>
      </c>
      <c r="B3" t="s">
        <v>26</v>
      </c>
      <c r="C3">
        <v>35</v>
      </c>
      <c r="D3" s="4">
        <v>1355689</v>
      </c>
      <c r="E3" s="4">
        <v>67.5</v>
      </c>
    </row>
    <row r="4" spans="1:5" x14ac:dyDescent="0.45">
      <c r="A4" t="s">
        <v>217</v>
      </c>
      <c r="B4" t="s">
        <v>214</v>
      </c>
      <c r="C4">
        <v>3</v>
      </c>
      <c r="D4" s="4">
        <v>81121</v>
      </c>
      <c r="E4" s="4">
        <v>4.5</v>
      </c>
    </row>
    <row r="5" spans="1:5" x14ac:dyDescent="0.45">
      <c r="A5" t="s">
        <v>217</v>
      </c>
      <c r="B5" t="s">
        <v>228</v>
      </c>
      <c r="C5">
        <v>2</v>
      </c>
      <c r="D5" s="4">
        <v>9676</v>
      </c>
      <c r="E5" s="4">
        <v>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"/>
  <sheetViews>
    <sheetView workbookViewId="0"/>
  </sheetViews>
  <sheetFormatPr defaultRowHeight="14.25" x14ac:dyDescent="0.45"/>
  <sheetData>
    <row r="1" spans="1:6" x14ac:dyDescent="0.45">
      <c r="A1" s="1" t="s">
        <v>9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264</v>
      </c>
    </row>
    <row r="2" spans="1:6" x14ac:dyDescent="0.45">
      <c r="A2" t="s">
        <v>214</v>
      </c>
      <c r="B2" s="4">
        <v>81121</v>
      </c>
      <c r="C2" s="4">
        <v>0</v>
      </c>
      <c r="D2" s="4">
        <v>0</v>
      </c>
      <c r="E2" s="4">
        <v>4.5</v>
      </c>
      <c r="F2">
        <v>3</v>
      </c>
    </row>
    <row r="3" spans="1:6" x14ac:dyDescent="0.45">
      <c r="A3" t="s">
        <v>228</v>
      </c>
      <c r="B3" s="4">
        <v>9676</v>
      </c>
      <c r="C3" s="4">
        <v>9676</v>
      </c>
      <c r="D3" s="4">
        <v>0</v>
      </c>
      <c r="E3" s="4">
        <v>3</v>
      </c>
      <c r="F3">
        <v>2</v>
      </c>
    </row>
    <row r="4" spans="1:6" x14ac:dyDescent="0.45">
      <c r="A4" t="s">
        <v>26</v>
      </c>
      <c r="B4" s="4">
        <v>1777520</v>
      </c>
      <c r="C4" s="4">
        <v>0</v>
      </c>
      <c r="D4" s="4">
        <v>1777430</v>
      </c>
      <c r="E4" s="4">
        <v>0</v>
      </c>
      <c r="F4">
        <v>45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I52"/>
  <sheetViews>
    <sheetView workbookViewId="0"/>
  </sheetViews>
  <sheetFormatPr defaultRowHeight="14.25" x14ac:dyDescent="0.45"/>
  <cols>
    <col min="1" max="1" width="3" customWidth="1"/>
    <col min="2" max="2" width="25" customWidth="1"/>
    <col min="3" max="3" width="20" customWidth="1"/>
    <col min="4" max="4" width="3" customWidth="1"/>
    <col min="5" max="5" width="25" customWidth="1"/>
    <col min="6" max="6" width="20" customWidth="1"/>
    <col min="7" max="7" width="3" customWidth="1"/>
    <col min="8" max="8" width="25" customWidth="1"/>
    <col min="9" max="9" width="20" customWidth="1"/>
  </cols>
  <sheetData>
    <row r="2" spans="2:9" ht="30" customHeight="1" x14ac:dyDescent="0.45">
      <c r="B2" s="21" t="s">
        <v>265</v>
      </c>
      <c r="C2" s="17"/>
      <c r="D2" s="17"/>
      <c r="E2" s="17"/>
      <c r="F2" s="17"/>
      <c r="G2" s="17"/>
      <c r="H2" s="17"/>
      <c r="I2" s="17"/>
    </row>
    <row r="3" spans="2:9" x14ac:dyDescent="0.45">
      <c r="B3" s="18" t="s">
        <v>266</v>
      </c>
      <c r="C3" s="17"/>
      <c r="D3" s="17"/>
      <c r="E3" s="17"/>
      <c r="F3" s="17"/>
      <c r="G3" s="17"/>
      <c r="H3" s="17"/>
      <c r="I3" s="17"/>
    </row>
    <row r="5" spans="2:9" ht="15.75" x14ac:dyDescent="0.5">
      <c r="B5" s="25" t="s">
        <v>267</v>
      </c>
      <c r="C5" s="17"/>
      <c r="D5" s="17"/>
      <c r="E5" s="17"/>
      <c r="F5" s="17"/>
      <c r="G5" s="17"/>
      <c r="H5" s="17"/>
      <c r="I5" s="17"/>
    </row>
    <row r="6" spans="2:9" x14ac:dyDescent="0.45">
      <c r="B6" t="s">
        <v>268</v>
      </c>
      <c r="C6" s="7" t="s">
        <v>269</v>
      </c>
      <c r="E6" t="s">
        <v>270</v>
      </c>
      <c r="F6" s="8" t="s">
        <v>271</v>
      </c>
      <c r="H6" t="s">
        <v>272</v>
      </c>
      <c r="I6" s="8" t="s">
        <v>271</v>
      </c>
    </row>
    <row r="7" spans="2:9" x14ac:dyDescent="0.45">
      <c r="B7" t="s">
        <v>273</v>
      </c>
      <c r="C7" s="7" t="s">
        <v>274</v>
      </c>
      <c r="E7" t="s">
        <v>275</v>
      </c>
      <c r="F7" s="8" t="s">
        <v>271</v>
      </c>
    </row>
    <row r="9" spans="2:9" ht="18" x14ac:dyDescent="0.55000000000000004">
      <c r="B9" s="23" t="s">
        <v>276</v>
      </c>
      <c r="C9" s="17"/>
      <c r="D9" s="17"/>
      <c r="E9" s="17"/>
      <c r="F9" s="17"/>
      <c r="G9" s="17"/>
      <c r="H9" s="17"/>
      <c r="I9" s="17"/>
    </row>
    <row r="10" spans="2:9" x14ac:dyDescent="0.45">
      <c r="B10" s="16" t="s">
        <v>277</v>
      </c>
      <c r="C10" s="17"/>
      <c r="E10" s="16" t="s">
        <v>278</v>
      </c>
      <c r="F10" s="17"/>
      <c r="H10" s="16" t="s">
        <v>279</v>
      </c>
      <c r="I10" s="17"/>
    </row>
    <row r="11" spans="2:9" ht="18" x14ac:dyDescent="0.55000000000000004">
      <c r="B11" s="20">
        <f>COUNTA('Revenue Computations'!A:A)-1</f>
        <v>50</v>
      </c>
      <c r="C11" s="17"/>
      <c r="E11" s="22">
        <f>SUMIF('Revenue Computations'!O:O,"SUCCESS",'Revenue Computations'!D:D)</f>
        <v>1777520</v>
      </c>
      <c r="F11" s="17"/>
      <c r="H11" s="22">
        <f>SUMIF('Revenue Computations'!O:O,"SUCCESS",'Revenue Computations'!I:I)</f>
        <v>0</v>
      </c>
      <c r="I11" s="17"/>
    </row>
    <row r="12" spans="2:9" x14ac:dyDescent="0.45">
      <c r="B12" s="16" t="s">
        <v>280</v>
      </c>
      <c r="C12" s="17"/>
      <c r="E12" s="16" t="s">
        <v>281</v>
      </c>
      <c r="F12" s="17"/>
      <c r="H12" s="16" t="s">
        <v>282</v>
      </c>
      <c r="I12" s="17"/>
    </row>
    <row r="13" spans="2:9" ht="18" x14ac:dyDescent="0.55000000000000004">
      <c r="B13" s="22">
        <f>SUMIF('Revenue Computations'!O:O,"SUCCESS",'Revenue Computations'!J:J)</f>
        <v>87.5</v>
      </c>
      <c r="C13" s="17"/>
      <c r="E13" s="22">
        <f>SUMIF('Revenue Computations'!O:O,"SUCCESS",'Revenue Computations'!K:K)</f>
        <v>87.5</v>
      </c>
      <c r="F13" s="17"/>
      <c r="H13" s="22">
        <f>SUMIF('Revenue Computations'!O:O,"PENDING",'Revenue Computations'!D:D)</f>
        <v>9676</v>
      </c>
      <c r="I13" s="17"/>
    </row>
    <row r="14" spans="2:9" x14ac:dyDescent="0.45">
      <c r="B14" s="16" t="s">
        <v>283</v>
      </c>
      <c r="C14" s="17"/>
      <c r="E14" s="16" t="s">
        <v>284</v>
      </c>
      <c r="F14" s="17"/>
      <c r="H14" s="16" t="s">
        <v>285</v>
      </c>
      <c r="I14" s="17"/>
    </row>
    <row r="15" spans="2:9" ht="18" x14ac:dyDescent="0.55000000000000004">
      <c r="B15" s="20" t="e">
        <f>SUMPRODUCT(1/COUNTIF('Revenue Computations'!E:E,'Revenue Computations'!E:E))-1</f>
        <v>#DIV/0!</v>
      </c>
      <c r="C15" s="17"/>
      <c r="E15" s="22">
        <f>IF(C10&gt;0,C11/C10,0)</f>
        <v>0</v>
      </c>
      <c r="F15" s="17"/>
      <c r="H15" s="24">
        <f>COUNTIF('Revenue Computations'!O:O,"SUCCESS")/(COUNTA('Revenue Computations'!O:O)-1)</f>
        <v>0.9</v>
      </c>
      <c r="I15" s="17"/>
    </row>
    <row r="17" spans="2:3" x14ac:dyDescent="0.45">
      <c r="B17" s="9" t="s">
        <v>286</v>
      </c>
    </row>
    <row r="18" spans="2:3" x14ac:dyDescent="0.45">
      <c r="B18" t="s">
        <v>287</v>
      </c>
      <c r="C18" s="4">
        <f>SUMIF('Revenue Computations'!O:O,"SUCCESS",'Revenue Computations'!I:I)</f>
        <v>0</v>
      </c>
    </row>
    <row r="19" spans="2:3" x14ac:dyDescent="0.45">
      <c r="B19" t="s">
        <v>288</v>
      </c>
      <c r="C19" s="4">
        <f>SUMIF('Revenue Computations'!O:O,"SUCCESS",'Revenue Computations'!J:J)</f>
        <v>87.5</v>
      </c>
    </row>
    <row r="48" spans="2:9" ht="15.75" x14ac:dyDescent="0.5">
      <c r="B48" s="19" t="s">
        <v>289</v>
      </c>
      <c r="C48" s="17"/>
      <c r="D48" s="17"/>
      <c r="E48" s="17"/>
      <c r="F48" s="17"/>
      <c r="G48" s="17"/>
      <c r="H48" s="17"/>
      <c r="I48" s="17"/>
    </row>
    <row r="49" spans="2:7" x14ac:dyDescent="0.45">
      <c r="B49" s="10" t="s">
        <v>290</v>
      </c>
      <c r="C49" s="10" t="s">
        <v>291</v>
      </c>
      <c r="D49" s="10" t="s">
        <v>256</v>
      </c>
      <c r="E49" s="10" t="s">
        <v>292</v>
      </c>
      <c r="F49" s="10" t="s">
        <v>279</v>
      </c>
      <c r="G49" s="10" t="s">
        <v>293</v>
      </c>
    </row>
    <row r="50" spans="2:7" x14ac:dyDescent="0.45">
      <c r="B50">
        <v>1</v>
      </c>
      <c r="C50" t="s">
        <v>65</v>
      </c>
      <c r="D50">
        <v>35</v>
      </c>
      <c r="E50" s="4">
        <v>1355689</v>
      </c>
      <c r="F50" s="4">
        <v>0</v>
      </c>
      <c r="G50" s="4">
        <v>67.5</v>
      </c>
    </row>
    <row r="51" spans="2:7" x14ac:dyDescent="0.45">
      <c r="B51">
        <v>2</v>
      </c>
      <c r="C51" t="s">
        <v>21</v>
      </c>
      <c r="D51">
        <v>7</v>
      </c>
      <c r="E51" s="4">
        <v>252249</v>
      </c>
      <c r="F51" s="4">
        <v>0</v>
      </c>
      <c r="G51" s="4">
        <v>14</v>
      </c>
    </row>
    <row r="52" spans="2:7" x14ac:dyDescent="0.45">
      <c r="B52">
        <v>3</v>
      </c>
      <c r="C52" t="s">
        <v>54</v>
      </c>
      <c r="D52">
        <v>3</v>
      </c>
      <c r="E52" s="4">
        <v>169582</v>
      </c>
      <c r="F52" s="4">
        <v>0</v>
      </c>
      <c r="G52" s="4">
        <v>6</v>
      </c>
    </row>
  </sheetData>
  <mergeCells count="23">
    <mergeCell ref="B48:I48"/>
    <mergeCell ref="B11:C11"/>
    <mergeCell ref="E10:F10"/>
    <mergeCell ref="B2:I2"/>
    <mergeCell ref="B14:C14"/>
    <mergeCell ref="E13:F13"/>
    <mergeCell ref="B13:C13"/>
    <mergeCell ref="H11:I11"/>
    <mergeCell ref="E15:F15"/>
    <mergeCell ref="B10:C10"/>
    <mergeCell ref="E11:F11"/>
    <mergeCell ref="H13:I13"/>
    <mergeCell ref="B9:I9"/>
    <mergeCell ref="H12:I12"/>
    <mergeCell ref="B15:C15"/>
    <mergeCell ref="H15:I15"/>
    <mergeCell ref="E12:F12"/>
    <mergeCell ref="H10:I10"/>
    <mergeCell ref="B3:I3"/>
    <mergeCell ref="E14:F14"/>
    <mergeCell ref="B12:C12"/>
    <mergeCell ref="B5:I5"/>
    <mergeCell ref="H14:I14"/>
  </mergeCells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3"/>
  <sheetViews>
    <sheetView workbookViewId="0"/>
  </sheetViews>
  <sheetFormatPr defaultRowHeight="14.25" x14ac:dyDescent="0.45"/>
  <sheetData>
    <row r="1" spans="1:2" x14ac:dyDescent="0.45">
      <c r="A1" t="s">
        <v>13</v>
      </c>
      <c r="B1" t="s">
        <v>264</v>
      </c>
    </row>
    <row r="2" spans="1:2" x14ac:dyDescent="0.45">
      <c r="A2" t="s">
        <v>30</v>
      </c>
      <c r="B2">
        <v>10</v>
      </c>
    </row>
    <row r="3" spans="1:2" x14ac:dyDescent="0.45">
      <c r="A3" t="s">
        <v>70</v>
      </c>
      <c r="B3">
        <v>35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4"/>
  <sheetViews>
    <sheetView workbookViewId="0"/>
  </sheetViews>
  <sheetFormatPr defaultRowHeight="14.25" x14ac:dyDescent="0.45"/>
  <sheetData>
    <row r="1" spans="1:2" x14ac:dyDescent="0.45">
      <c r="A1" t="s">
        <v>7</v>
      </c>
      <c r="B1" t="s">
        <v>264</v>
      </c>
    </row>
    <row r="2" spans="1:2" x14ac:dyDescent="0.45">
      <c r="A2" t="s">
        <v>192</v>
      </c>
      <c r="B2">
        <v>5</v>
      </c>
    </row>
    <row r="3" spans="1:2" x14ac:dyDescent="0.45">
      <c r="A3" t="s">
        <v>151</v>
      </c>
      <c r="B3">
        <v>10</v>
      </c>
    </row>
    <row r="4" spans="1:2" x14ac:dyDescent="0.45">
      <c r="A4" t="s">
        <v>24</v>
      </c>
      <c r="B4">
        <v>30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B11"/>
  <sheetViews>
    <sheetView workbookViewId="0"/>
  </sheetViews>
  <sheetFormatPr defaultRowHeight="14.25" x14ac:dyDescent="0.45"/>
  <cols>
    <col min="1" max="1" width="5" customWidth="1"/>
    <col min="2" max="2" width="80" customWidth="1"/>
  </cols>
  <sheetData>
    <row r="2" spans="2:2" ht="21" x14ac:dyDescent="0.65">
      <c r="B2" s="11" t="s">
        <v>294</v>
      </c>
    </row>
    <row r="4" spans="2:2" ht="15.75" x14ac:dyDescent="0.5">
      <c r="B4" s="12" t="s">
        <v>295</v>
      </c>
    </row>
    <row r="5" spans="2:2" ht="200" customHeight="1" x14ac:dyDescent="0.45">
      <c r="B5" s="13" t="s">
        <v>296</v>
      </c>
    </row>
    <row r="7" spans="2:2" ht="15.75" x14ac:dyDescent="0.5">
      <c r="B7" s="12" t="s">
        <v>297</v>
      </c>
    </row>
    <row r="8" spans="2:2" ht="250.05" customHeight="1" x14ac:dyDescent="0.45">
      <c r="B8" s="13" t="s">
        <v>298</v>
      </c>
    </row>
    <row r="10" spans="2:2" ht="15.75" x14ac:dyDescent="0.5">
      <c r="B10" s="12" t="s">
        <v>299</v>
      </c>
    </row>
    <row r="11" spans="2:2" ht="250.05" customHeight="1" x14ac:dyDescent="0.45">
      <c r="B11" s="13" t="s">
        <v>300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2:B4"/>
  <sheetViews>
    <sheetView tabSelected="1" workbookViewId="0"/>
  </sheetViews>
  <sheetFormatPr defaultRowHeight="14.25" x14ac:dyDescent="0.45"/>
  <cols>
    <col min="1" max="1" width="5" customWidth="1"/>
    <col min="2" max="2" width="100" customWidth="1"/>
  </cols>
  <sheetData>
    <row r="2" spans="2:2" ht="18" x14ac:dyDescent="0.55000000000000004">
      <c r="B2" s="14" t="s">
        <v>301</v>
      </c>
    </row>
    <row r="4" spans="2:2" ht="409.6" customHeight="1" x14ac:dyDescent="0.45">
      <c r="B4" s="15" t="s">
        <v>302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Raw Data</vt:lpstr>
      <vt:lpstr>Cleaned Data</vt:lpstr>
      <vt:lpstr>Revenue Computations</vt:lpstr>
      <vt:lpstr>Monthly Summary</vt:lpstr>
      <vt:lpstr>Partner Performance</vt:lpstr>
      <vt:lpstr>Gateway Analysis</vt:lpstr>
      <vt:lpstr>Exposure Report</vt:lpstr>
      <vt:lpstr>Dashboard</vt:lpstr>
      <vt:lpstr>Gateway_Chart_Data</vt:lpstr>
      <vt:lpstr>Payment_Chart_Data</vt:lpstr>
      <vt:lpstr>Documentation</vt:lpstr>
      <vt:lpstr>VBA_Code_Reference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shiva prasad</cp:lastModifiedBy>
  <dcterms:created xsi:type="dcterms:W3CDTF">2026-03-04T05:58:50Z</dcterms:created>
  <dcterms:modified xsi:type="dcterms:W3CDTF">2026-03-04T06:42:38Z</dcterms:modified>
</cp:coreProperties>
</file>